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out" sheetId="1" state="visible" r:id="rId1"/>
    <sheet xmlns:r="http://schemas.openxmlformats.org/officeDocument/2006/relationships" name="Signals" sheetId="2" state="visible" r:id="rId2"/>
  </sheets>
  <definedNames>
    <definedName name="_xlnm._FilterDatabase" localSheetId="1" hidden="1">'Signals'!$A$1:$H$67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</font>
    <font>
      <name val="Arial"/>
      <color rgb="00000000"/>
    </font>
    <font>
      <name val="Arial"/>
      <sz val="9"/>
    </font>
    <font>
      <name val="Arial"/>
      <b val="1"/>
      <color rgb="00000000"/>
    </font>
    <font>
      <name val="Arial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404040"/>
      </patternFill>
    </fill>
    <fill>
      <patternFill patternType="solid">
        <fgColor rgb="00A9D18E"/>
      </patternFill>
    </fill>
    <fill>
      <patternFill patternType="solid">
        <fgColor rgb="00F4B183"/>
      </patternFill>
    </fill>
    <fill>
      <patternFill patternType="solid">
        <fgColor rgb="00C9A0DC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B4C7E7"/>
      </patternFill>
    </fill>
    <fill>
      <patternFill patternType="solid">
        <fgColor rgb="009DC3E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pivotButton="0" quotePrefix="0" xfId="0"/>
    <xf numFmtId="0" fontId="6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6" borderId="1" pivotButton="0" quotePrefix="0" xfId="0"/>
    <xf numFmtId="0" fontId="7" fillId="11" borderId="1" pivotButton="0" quotePrefix="0" xfId="0"/>
    <xf numFmtId="0" fontId="7" fillId="5" borderId="1" pivotButton="0" quotePrefix="0" xfId="0"/>
    <xf numFmtId="0" fontId="7" fillId="8" borderId="1" pivotButton="0" quotePrefix="0" xfId="0"/>
    <xf numFmtId="0" fontId="5" fillId="8" borderId="1" applyAlignment="1" pivotButton="0" quotePrefix="0" xfId="0">
      <alignment horizontal="center" vertical="center"/>
    </xf>
    <xf numFmtId="0" fontId="7" fillId="7" borderId="1" pivotButton="0" quotePrefix="0" xfId="0"/>
    <xf numFmtId="0" fontId="7" fillId="9" borderId="1" pivotButton="0" quotePrefix="0" xfId="0"/>
    <xf numFmtId="0" fontId="7" fillId="10" borderId="1" pivotButton="0" quotePrefix="0" xfId="0"/>
    <xf numFmtId="0" fontId="7" fillId="12" borderId="1" pivotButton="0" quotePrefix="0" xfId="0"/>
    <xf numFmtId="0" fontId="8" fillId="0" borderId="0" pivotButton="0" quotePrefix="0" xfId="0"/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C0000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3" customWidth="1" min="5" max="5"/>
    <col width="16" customWidth="1" min="6" max="6"/>
    <col width="60" customWidth="1" min="7" max="7"/>
  </cols>
  <sheetData>
    <row r="1">
      <c r="A1" s="1" t="inlineStr">
        <is>
          <t>Kestrel8 Backplane - DIN 41612 3x32 (96 pin)</t>
        </is>
      </c>
    </row>
    <row r="2">
      <c r="A2" s="2" t="inlineStr">
        <is>
          <t>Edit signal names in this grid (the pin assignment lives here); the Signals sheet looks them up.</t>
        </is>
      </c>
    </row>
    <row r="4">
      <c r="A4" s="3" t="inlineStr">
        <is>
          <t>Pin</t>
        </is>
      </c>
      <c r="B4" s="3" t="inlineStr">
        <is>
          <t>Row A</t>
        </is>
      </c>
      <c r="C4" s="3" t="inlineStr">
        <is>
          <t>Row B</t>
        </is>
      </c>
      <c r="D4" s="3" t="inlineStr">
        <is>
          <t>Row C</t>
        </is>
      </c>
      <c r="F4" s="4" t="inlineStr">
        <is>
          <t>Legend</t>
        </is>
      </c>
    </row>
    <row r="5">
      <c r="A5" s="5" t="n">
        <v>1</v>
      </c>
      <c r="B5" s="6" t="inlineStr">
        <is>
          <t>GND</t>
        </is>
      </c>
      <c r="C5" s="6" t="inlineStr">
        <is>
          <t>GND</t>
        </is>
      </c>
      <c r="D5" s="6" t="inlineStr">
        <is>
          <t>GND</t>
        </is>
      </c>
      <c r="F5" s="7" t="inlineStr">
        <is>
          <t>Power</t>
        </is>
      </c>
      <c r="G5" s="8" t="inlineStr">
        <is>
          <t>Supply rails</t>
        </is>
      </c>
    </row>
    <row r="6">
      <c r="A6" s="5" t="n">
        <v>2</v>
      </c>
      <c r="B6" s="9" t="inlineStr">
        <is>
          <t>ADR_0</t>
        </is>
      </c>
      <c r="C6" s="10" t="inlineStr">
        <is>
          <t>CLK</t>
        </is>
      </c>
      <c r="D6" s="11" t="inlineStr">
        <is>
          <t>/RA_OUT</t>
        </is>
      </c>
      <c r="F6" s="12" t="inlineStr">
        <is>
          <t>System</t>
        </is>
      </c>
      <c r="G6" s="8" t="inlineStr">
        <is>
          <t>Clock, reset, status (backplane)</t>
        </is>
      </c>
    </row>
    <row r="7">
      <c r="A7" s="5" t="n">
        <v>3</v>
      </c>
      <c r="B7" s="9" t="inlineStr">
        <is>
          <t>ADR_1</t>
        </is>
      </c>
      <c r="C7" s="6" t="inlineStr">
        <is>
          <t>GND</t>
        </is>
      </c>
      <c r="D7" s="11" t="inlineStr">
        <is>
          <t>/RB_OUT</t>
        </is>
      </c>
      <c r="F7" s="13" t="inlineStr">
        <is>
          <t>Data</t>
        </is>
      </c>
      <c r="G7" s="8" t="inlineStr">
        <is>
          <t>8-bit data bus (bidirectional)</t>
        </is>
      </c>
    </row>
    <row r="8">
      <c r="A8" s="5" t="n">
        <v>4</v>
      </c>
      <c r="B8" s="9" t="inlineStr">
        <is>
          <t>ADR_2</t>
        </is>
      </c>
      <c r="C8" s="10" t="inlineStr">
        <is>
          <t>/RESET</t>
        </is>
      </c>
      <c r="D8" s="11" t="inlineStr">
        <is>
          <t>/RD_IN</t>
        </is>
      </c>
      <c r="F8" s="14" t="inlineStr">
        <is>
          <t>Address</t>
        </is>
      </c>
      <c r="G8" s="8" t="inlineStr">
        <is>
          <t>16-bit address bus</t>
        </is>
      </c>
    </row>
    <row r="9">
      <c r="A9" s="5" t="n">
        <v>5</v>
      </c>
      <c r="B9" s="9" t="inlineStr">
        <is>
          <t>ADR_3</t>
        </is>
      </c>
      <c r="C9" s="10" t="inlineStr">
        <is>
          <t>HALTED</t>
        </is>
      </c>
      <c r="D9" s="11" t="inlineStr">
        <is>
          <t>/X_IN</t>
        </is>
      </c>
      <c r="F9" s="15" t="inlineStr">
        <is>
          <t>IR</t>
        </is>
      </c>
      <c r="G9" s="8" t="inlineStr">
        <is>
          <t>Instruction register fields</t>
        </is>
      </c>
    </row>
    <row r="10">
      <c r="A10" s="5" t="n">
        <v>6</v>
      </c>
      <c r="B10" s="9" t="inlineStr">
        <is>
          <t>ADR_4</t>
        </is>
      </c>
      <c r="C10" s="16" t="inlineStr">
        <is>
          <t>IR0_0</t>
        </is>
      </c>
      <c r="D10" s="11" t="inlineStr">
        <is>
          <t>/Y_IN</t>
        </is>
      </c>
      <c r="F10" s="17" t="inlineStr">
        <is>
          <t>Control</t>
        </is>
      </c>
      <c r="G10" s="8" t="inlineStr">
        <is>
          <t>Microcode control strobes</t>
        </is>
      </c>
    </row>
    <row r="11">
      <c r="A11" s="5" t="n">
        <v>7</v>
      </c>
      <c r="B11" s="9" t="inlineStr">
        <is>
          <t>ADR_5</t>
        </is>
      </c>
      <c r="C11" s="16" t="inlineStr">
        <is>
          <t>IR0_1</t>
        </is>
      </c>
      <c r="D11" s="11" t="inlineStr">
        <is>
          <t>/ALU_OUT</t>
        </is>
      </c>
      <c r="F11" s="18" t="inlineStr">
        <is>
          <t>Flags</t>
        </is>
      </c>
      <c r="G11" s="8" t="inlineStr">
        <is>
          <t>ALU flags to control unit</t>
        </is>
      </c>
    </row>
    <row r="12">
      <c r="A12" s="5" t="n">
        <v>8</v>
      </c>
      <c r="B12" s="9" t="inlineStr">
        <is>
          <t>ADR_6</t>
        </is>
      </c>
      <c r="C12" s="16" t="inlineStr">
        <is>
          <t>IR0_2</t>
        </is>
      </c>
      <c r="D12" s="11" t="inlineStr">
        <is>
          <t>/F_IN</t>
        </is>
      </c>
      <c r="F12" s="19" t="inlineStr">
        <is>
          <t>I/O</t>
        </is>
      </c>
      <c r="G12" s="8" t="inlineStr">
        <is>
          <t>I/O port / future I/O cards</t>
        </is>
      </c>
    </row>
    <row r="13">
      <c r="A13" s="5" t="n">
        <v>9</v>
      </c>
      <c r="B13" s="9" t="inlineStr">
        <is>
          <t>ADR_7</t>
        </is>
      </c>
      <c r="C13" s="16" t="inlineStr">
        <is>
          <t>IR0_3</t>
        </is>
      </c>
      <c r="D13" s="11" t="inlineStr">
        <is>
          <t>ALU_FUNC</t>
        </is>
      </c>
      <c r="F13" s="20" t="inlineStr">
        <is>
          <t>Spare</t>
        </is>
      </c>
      <c r="G13" s="8" t="inlineStr">
        <is>
          <t>Unassigned - reserved</t>
        </is>
      </c>
    </row>
    <row r="14">
      <c r="A14" s="5" t="n">
        <v>10</v>
      </c>
      <c r="B14" s="9" t="inlineStr">
        <is>
          <t>ADR_8</t>
        </is>
      </c>
      <c r="C14" s="16" t="inlineStr">
        <is>
          <t>IR1_0</t>
        </is>
      </c>
      <c r="D14" s="11" t="inlineStr">
        <is>
          <t>/SEL_CMP</t>
        </is>
      </c>
    </row>
    <row r="15">
      <c r="A15" s="5" t="n">
        <v>11</v>
      </c>
      <c r="B15" s="9" t="inlineStr">
        <is>
          <t>ADR_9</t>
        </is>
      </c>
      <c r="C15" s="16" t="inlineStr">
        <is>
          <t>IR1_1</t>
        </is>
      </c>
      <c r="D15" s="11" t="inlineStr">
        <is>
          <t>/MAR_IN</t>
        </is>
      </c>
      <c r="F15" s="4" t="inlineStr">
        <is>
          <t>Signals placed</t>
        </is>
      </c>
      <c r="G15" s="21">
        <f>COUNTIF(Signals!$H$2:$H$67,"&lt;&gt;NOT PLACED")&amp;" / 66"</f>
        <v/>
      </c>
    </row>
    <row r="16">
      <c r="A16" s="5" t="n">
        <v>12</v>
      </c>
      <c r="B16" s="9" t="inlineStr">
        <is>
          <t>ADR_10</t>
        </is>
      </c>
      <c r="C16" s="16" t="inlineStr">
        <is>
          <t>IR1_2</t>
        </is>
      </c>
      <c r="D16" s="11" t="inlineStr">
        <is>
          <t>/RAM_IN</t>
        </is>
      </c>
      <c r="F16" s="4" t="inlineStr">
        <is>
          <t>Spare pins</t>
        </is>
      </c>
      <c r="G16" s="21">
        <f>COUNTBLANK(B5:D36)</f>
        <v/>
      </c>
    </row>
    <row r="17">
      <c r="A17" s="5" t="n">
        <v>13</v>
      </c>
      <c r="B17" s="9" t="inlineStr">
        <is>
          <t>ADR_11</t>
        </is>
      </c>
      <c r="C17" s="16" t="inlineStr">
        <is>
          <t>IR1_6</t>
        </is>
      </c>
      <c r="D17" s="11" t="inlineStr">
        <is>
          <t>/RAM_OUT</t>
        </is>
      </c>
    </row>
    <row r="18">
      <c r="A18" s="5" t="n">
        <v>14</v>
      </c>
      <c r="B18" s="9" t="inlineStr">
        <is>
          <t>ADR_12</t>
        </is>
      </c>
      <c r="C18" s="16" t="inlineStr">
        <is>
          <t>IR1_7</t>
        </is>
      </c>
      <c r="D18" s="11" t="inlineStr">
        <is>
          <t>/THI_IN</t>
        </is>
      </c>
      <c r="F18" s="4" t="inlineStr">
        <is>
          <t>Notes</t>
        </is>
      </c>
    </row>
    <row r="19">
      <c r="A19" s="5" t="n">
        <v>15</v>
      </c>
      <c r="B19" s="9" t="inlineStr">
        <is>
          <t>ADR_13</t>
        </is>
      </c>
      <c r="C19" s="6" t="inlineStr">
        <is>
          <t>GND</t>
        </is>
      </c>
      <c r="D19" s="11" t="inlineStr">
        <is>
          <t>/TLO_IN</t>
        </is>
      </c>
      <c r="F19" s="8" t="inlineStr">
        <is>
          <t>/ = active low. Names match the KiCad global labels ({slash} in the files).</t>
        </is>
      </c>
    </row>
    <row r="20">
      <c r="A20" s="5" t="n">
        <v>16</v>
      </c>
      <c r="B20" s="9" t="inlineStr">
        <is>
          <t>ADR_14</t>
        </is>
      </c>
      <c r="C20" s="22" t="inlineStr">
        <is>
          <t>/C</t>
        </is>
      </c>
      <c r="D20" s="6" t="inlineStr">
        <is>
          <t>GND</t>
        </is>
      </c>
      <c r="F20" s="8" t="inlineStr">
        <is>
          <t>GND: pin 1 (all rows), A18, B3, B15, B24, C16. VCC: pin 32 (all rows).</t>
        </is>
      </c>
    </row>
    <row r="21">
      <c r="A21" s="5" t="n">
        <v>17</v>
      </c>
      <c r="B21" s="9" t="inlineStr">
        <is>
          <t>ADR_15</t>
        </is>
      </c>
      <c r="C21" s="22" t="inlineStr">
        <is>
          <t>/Z</t>
        </is>
      </c>
      <c r="D21" s="11" t="inlineStr">
        <is>
          <t>/T_OUT</t>
        </is>
      </c>
      <c r="F21" s="8" t="inlineStr">
        <is>
          <t>CLK at B2 sits between GND pins B1 and B3.</t>
        </is>
      </c>
    </row>
    <row r="22">
      <c r="A22" s="5" t="n">
        <v>18</v>
      </c>
      <c r="B22" s="6" t="inlineStr">
        <is>
          <t>GND</t>
        </is>
      </c>
      <c r="C22" s="23" t="inlineStr">
        <is>
          <t>/IRQ</t>
        </is>
      </c>
      <c r="D22" s="23" t="inlineStr">
        <is>
          <t>/IO_0</t>
        </is>
      </c>
      <c r="F22" s="8" t="inlineStr">
        <is>
          <t>Spare pins left for future I/O cards and per-card decode.</t>
        </is>
      </c>
    </row>
    <row r="23">
      <c r="A23" s="5" t="n">
        <v>19</v>
      </c>
      <c r="B23" s="24" t="inlineStr">
        <is>
          <t>DAT_0</t>
        </is>
      </c>
      <c r="C23" s="23" t="inlineStr">
        <is>
          <t>/IACK</t>
        </is>
      </c>
      <c r="D23" s="23" t="inlineStr">
        <is>
          <t>/IO_1</t>
        </is>
      </c>
      <c r="F23" s="8" t="inlineStr">
        <is>
          <t>Driver "Backplane" = clock, reset and front-panel circuitry on the backplane.</t>
        </is>
      </c>
    </row>
    <row r="24">
      <c r="A24" s="5" t="n">
        <v>20</v>
      </c>
      <c r="B24" s="24" t="inlineStr">
        <is>
          <t>DAT_1</t>
        </is>
      </c>
      <c r="C24" s="25" t="n"/>
      <c r="D24" s="23" t="inlineStr">
        <is>
          <t>/IO_2</t>
        </is>
      </c>
    </row>
    <row r="25">
      <c r="A25" s="5" t="n">
        <v>21</v>
      </c>
      <c r="B25" s="24" t="inlineStr">
        <is>
          <t>DAT_2</t>
        </is>
      </c>
      <c r="C25" s="25" t="n"/>
      <c r="D25" s="23" t="inlineStr">
        <is>
          <t>/IO_3</t>
        </is>
      </c>
    </row>
    <row r="26">
      <c r="A26" s="5" t="n">
        <v>22</v>
      </c>
      <c r="B26" s="24" t="inlineStr">
        <is>
          <t>DAT_3</t>
        </is>
      </c>
      <c r="C26" s="25" t="n"/>
      <c r="D26" s="23" t="inlineStr">
        <is>
          <t>/IO_4</t>
        </is>
      </c>
    </row>
    <row r="27">
      <c r="A27" s="5" t="n">
        <v>23</v>
      </c>
      <c r="B27" s="24" t="inlineStr">
        <is>
          <t>DAT_4</t>
        </is>
      </c>
      <c r="C27" s="25" t="n"/>
      <c r="D27" s="23" t="inlineStr">
        <is>
          <t>/IO_5</t>
        </is>
      </c>
    </row>
    <row r="28">
      <c r="A28" s="5" t="n">
        <v>24</v>
      </c>
      <c r="B28" s="24" t="inlineStr">
        <is>
          <t>DAT_5</t>
        </is>
      </c>
      <c r="C28" s="6" t="inlineStr">
        <is>
          <t>GND</t>
        </is>
      </c>
      <c r="D28" s="23" t="inlineStr">
        <is>
          <t>/IO_6</t>
        </is>
      </c>
    </row>
    <row r="29">
      <c r="A29" s="5" t="n">
        <v>25</v>
      </c>
      <c r="B29" s="24" t="inlineStr">
        <is>
          <t>DAT_6</t>
        </is>
      </c>
      <c r="C29" s="25" t="n"/>
      <c r="D29" s="23" t="inlineStr">
        <is>
          <t>/IO_7</t>
        </is>
      </c>
    </row>
    <row r="30">
      <c r="A30" s="5" t="n">
        <v>26</v>
      </c>
      <c r="B30" s="24" t="inlineStr">
        <is>
          <t>DAT_7</t>
        </is>
      </c>
      <c r="C30" s="25" t="n"/>
      <c r="D30" s="25" t="n"/>
    </row>
    <row r="31">
      <c r="A31" s="5" t="n">
        <v>27</v>
      </c>
      <c r="B31" s="23" t="inlineStr">
        <is>
          <t>/IO_SEL</t>
        </is>
      </c>
      <c r="C31" s="25" t="n"/>
      <c r="D31" s="25" t="n"/>
    </row>
    <row r="32">
      <c r="A32" s="5" t="n">
        <v>28</v>
      </c>
      <c r="B32" s="25" t="n"/>
      <c r="C32" s="25" t="n"/>
      <c r="D32" s="25" t="n"/>
    </row>
    <row r="33">
      <c r="A33" s="5" t="n">
        <v>29</v>
      </c>
      <c r="B33" s="25" t="n"/>
      <c r="C33" s="25" t="n"/>
      <c r="D33" s="25" t="n"/>
    </row>
    <row r="34">
      <c r="A34" s="5" t="n">
        <v>30</v>
      </c>
      <c r="B34" s="25" t="n"/>
      <c r="C34" s="25" t="n"/>
      <c r="D34" s="25" t="n"/>
    </row>
    <row r="35">
      <c r="A35" s="5" t="n">
        <v>31</v>
      </c>
      <c r="B35" s="25" t="n"/>
      <c r="C35" s="25" t="n"/>
      <c r="D35" s="25" t="n"/>
    </row>
    <row r="36">
      <c r="A36" s="5" t="n">
        <v>32</v>
      </c>
      <c r="B36" s="6" t="inlineStr">
        <is>
          <t>VCC</t>
        </is>
      </c>
      <c r="C36" s="6" t="inlineStr">
        <is>
          <t>VCC</t>
        </is>
      </c>
      <c r="D36" s="6" t="inlineStr">
        <is>
          <t>VCC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4" customWidth="1" min="4" max="4"/>
    <col width="18" customWidth="1" min="5" max="5"/>
    <col width="52" customWidth="1" min="6" max="6"/>
    <col width="10" customWidth="1" min="7" max="7"/>
    <col width="8" customWidth="1" min="8" max="8"/>
  </cols>
  <sheetData>
    <row r="1">
      <c r="A1" s="26" t="inlineStr">
        <is>
          <t>Signal</t>
        </is>
      </c>
      <c r="B1" s="26" t="inlineStr">
        <is>
          <t>Group</t>
        </is>
      </c>
      <c r="C1" s="26" t="inlineStr">
        <is>
          <t>Active</t>
        </is>
      </c>
      <c r="D1" s="26" t="inlineStr">
        <is>
          <t>Driver</t>
        </is>
      </c>
      <c r="E1" s="26" t="inlineStr">
        <is>
          <t>Receivers</t>
        </is>
      </c>
      <c r="F1" s="26" t="inlineStr">
        <is>
          <t>Description</t>
        </is>
      </c>
      <c r="G1" s="26" t="inlineStr">
        <is>
          <t>Pins used</t>
        </is>
      </c>
      <c r="H1" s="26" t="inlineStr">
        <is>
          <t>Pin</t>
        </is>
      </c>
    </row>
    <row r="2">
      <c r="A2" s="7" t="inlineStr">
        <is>
          <t>GND</t>
        </is>
      </c>
      <c r="B2" s="27" t="inlineStr">
        <is>
          <t>Power</t>
        </is>
      </c>
      <c r="C2" s="27" t="inlineStr">
        <is>
          <t>-</t>
        </is>
      </c>
      <c r="D2" s="27" t="inlineStr">
        <is>
          <t>Backplane</t>
        </is>
      </c>
      <c r="E2" s="27" t="inlineStr">
        <is>
          <t>All</t>
        </is>
      </c>
      <c r="F2" s="27" t="inlineStr">
        <is>
          <t>Ground</t>
        </is>
      </c>
      <c r="G2" s="28">
        <f>COUNTIF(Pinout!$B$5:$D$36,A2)</f>
        <v/>
      </c>
      <c r="H2" s="29">
        <f>IFERROR("A"&amp;INDEX(Pinout!$A$5:$A$36,MATCH(A2,Pinout!$B$5:$B$36,0)),IFERROR("B"&amp;INDEX(Pinout!$A$5:$A$36,MATCH(A2,Pinout!$C$5:$C$36,0)),IFERROR("C"&amp;INDEX(Pinout!$A$5:$A$36,MATCH(A2,Pinout!$D$5:$D$36,0)),"NOT PLACED")))</f>
        <v/>
      </c>
    </row>
    <row r="3">
      <c r="A3" s="7" t="inlineStr">
        <is>
          <t>VCC</t>
        </is>
      </c>
      <c r="B3" s="27" t="inlineStr">
        <is>
          <t>Power</t>
        </is>
      </c>
      <c r="C3" s="27" t="inlineStr">
        <is>
          <t>-</t>
        </is>
      </c>
      <c r="D3" s="27" t="inlineStr">
        <is>
          <t>Backplane</t>
        </is>
      </c>
      <c r="E3" s="27" t="inlineStr">
        <is>
          <t>All</t>
        </is>
      </c>
      <c r="F3" s="27" t="inlineStr">
        <is>
          <t>+5 V</t>
        </is>
      </c>
      <c r="G3" s="28">
        <f>COUNTIF(Pinout!$B$5:$D$36,A3)</f>
        <v/>
      </c>
      <c r="H3" s="29">
        <f>IFERROR("A"&amp;INDEX(Pinout!$A$5:$A$36,MATCH(A3,Pinout!$B$5:$B$36,0)),IFERROR("B"&amp;INDEX(Pinout!$A$5:$A$36,MATCH(A3,Pinout!$C$5:$C$36,0)),IFERROR("C"&amp;INDEX(Pinout!$A$5:$A$36,MATCH(A3,Pinout!$D$5:$D$36,0)),"NOT PLACED")))</f>
        <v/>
      </c>
    </row>
    <row r="4">
      <c r="A4" s="12" t="inlineStr">
        <is>
          <t>CLK</t>
        </is>
      </c>
      <c r="B4" s="27" t="inlineStr">
        <is>
          <t>System</t>
        </is>
      </c>
      <c r="C4" s="27" t="inlineStr">
        <is>
          <t>High</t>
        </is>
      </c>
      <c r="D4" s="27" t="inlineStr">
        <is>
          <t>Backplane</t>
        </is>
      </c>
      <c r="E4" s="27" t="inlineStr">
        <is>
          <t>All</t>
        </is>
      </c>
      <c r="F4" s="27" t="inlineStr">
        <is>
          <t>System clock (rising edge)</t>
        </is>
      </c>
      <c r="G4" s="28">
        <f>COUNTIF(Pinout!$B$5:$D$36,A4)</f>
        <v/>
      </c>
      <c r="H4" s="29">
        <f>IFERROR("A"&amp;INDEX(Pinout!$A$5:$A$36,MATCH(A4,Pinout!$B$5:$B$36,0)),IFERROR("B"&amp;INDEX(Pinout!$A$5:$A$36,MATCH(A4,Pinout!$C$5:$C$36,0)),IFERROR("C"&amp;INDEX(Pinout!$A$5:$A$36,MATCH(A4,Pinout!$D$5:$D$36,0)),"NOT PLACED")))</f>
        <v/>
      </c>
    </row>
    <row r="5">
      <c r="A5" s="12" t="inlineStr">
        <is>
          <t>/RESET</t>
        </is>
      </c>
      <c r="B5" s="27" t="inlineStr">
        <is>
          <t>System</t>
        </is>
      </c>
      <c r="C5" s="27" t="inlineStr">
        <is>
          <t>Low</t>
        </is>
      </c>
      <c r="D5" s="27" t="inlineStr">
        <is>
          <t>Backplane</t>
        </is>
      </c>
      <c r="E5" s="27" t="inlineStr">
        <is>
          <t>Control, ALU</t>
        </is>
      </c>
      <c r="F5" s="27" t="inlineStr">
        <is>
          <t>Reset button, active low</t>
        </is>
      </c>
      <c r="G5" s="28">
        <f>COUNTIF(Pinout!$B$5:$D$36,A5)</f>
        <v/>
      </c>
      <c r="H5" s="29">
        <f>IFERROR("A"&amp;INDEX(Pinout!$A$5:$A$36,MATCH(A5,Pinout!$B$5:$B$36,0)),IFERROR("B"&amp;INDEX(Pinout!$A$5:$A$36,MATCH(A5,Pinout!$C$5:$C$36,0)),IFERROR("C"&amp;INDEX(Pinout!$A$5:$A$36,MATCH(A5,Pinout!$D$5:$D$36,0)),"NOT PLACED")))</f>
        <v/>
      </c>
    </row>
    <row r="6">
      <c r="A6" s="12" t="inlineStr">
        <is>
          <t>HALTED</t>
        </is>
      </c>
      <c r="B6" s="27" t="inlineStr">
        <is>
          <t>System</t>
        </is>
      </c>
      <c r="C6" s="27" t="inlineStr">
        <is>
          <t>High</t>
        </is>
      </c>
      <c r="D6" s="27" t="inlineStr">
        <is>
          <t>Control</t>
        </is>
      </c>
      <c r="E6" s="27" t="inlineStr">
        <is>
          <t>Backplane</t>
        </is>
      </c>
      <c r="F6" s="27" t="inlineStr">
        <is>
          <t>HALT indicator LED</t>
        </is>
      </c>
      <c r="G6" s="28">
        <f>COUNTIF(Pinout!$B$5:$D$36,A6)</f>
        <v/>
      </c>
      <c r="H6" s="29">
        <f>IFERROR("A"&amp;INDEX(Pinout!$A$5:$A$36,MATCH(A6,Pinout!$B$5:$B$36,0)),IFERROR("B"&amp;INDEX(Pinout!$A$5:$A$36,MATCH(A6,Pinout!$C$5:$C$36,0)),IFERROR("C"&amp;INDEX(Pinout!$A$5:$A$36,MATCH(A6,Pinout!$D$5:$D$36,0)),"NOT PLACED")))</f>
        <v/>
      </c>
    </row>
    <row r="7">
      <c r="A7" s="13" t="inlineStr">
        <is>
          <t>DAT_0</t>
        </is>
      </c>
      <c r="B7" s="27" t="inlineStr">
        <is>
          <t>Data</t>
        </is>
      </c>
      <c r="C7" s="27" t="inlineStr">
        <is>
          <t>High</t>
        </is>
      </c>
      <c r="D7" s="27" t="inlineStr">
        <is>
          <t>Any</t>
        </is>
      </c>
      <c r="E7" s="27" t="inlineStr">
        <is>
          <t>Any</t>
        </is>
      </c>
      <c r="F7" s="27" t="inlineStr">
        <is>
          <t>Data bus</t>
        </is>
      </c>
      <c r="G7" s="28">
        <f>COUNTIF(Pinout!$B$5:$D$36,A7)</f>
        <v/>
      </c>
      <c r="H7" s="29">
        <f>IFERROR("A"&amp;INDEX(Pinout!$A$5:$A$36,MATCH(A7,Pinout!$B$5:$B$36,0)),IFERROR("B"&amp;INDEX(Pinout!$A$5:$A$36,MATCH(A7,Pinout!$C$5:$C$36,0)),IFERROR("C"&amp;INDEX(Pinout!$A$5:$A$36,MATCH(A7,Pinout!$D$5:$D$36,0)),"NOT PLACED")))</f>
        <v/>
      </c>
    </row>
    <row r="8">
      <c r="A8" s="13" t="inlineStr">
        <is>
          <t>DAT_1</t>
        </is>
      </c>
      <c r="B8" s="27" t="inlineStr">
        <is>
          <t>Data</t>
        </is>
      </c>
      <c r="C8" s="27" t="inlineStr">
        <is>
          <t>High</t>
        </is>
      </c>
      <c r="D8" s="27" t="inlineStr">
        <is>
          <t>Any</t>
        </is>
      </c>
      <c r="E8" s="27" t="inlineStr">
        <is>
          <t>Any</t>
        </is>
      </c>
      <c r="F8" s="27" t="inlineStr">
        <is>
          <t>Data bus</t>
        </is>
      </c>
      <c r="G8" s="28">
        <f>COUNTIF(Pinout!$B$5:$D$36,A8)</f>
        <v/>
      </c>
      <c r="H8" s="29">
        <f>IFERROR("A"&amp;INDEX(Pinout!$A$5:$A$36,MATCH(A8,Pinout!$B$5:$B$36,0)),IFERROR("B"&amp;INDEX(Pinout!$A$5:$A$36,MATCH(A8,Pinout!$C$5:$C$36,0)),IFERROR("C"&amp;INDEX(Pinout!$A$5:$A$36,MATCH(A8,Pinout!$D$5:$D$36,0)),"NOT PLACED")))</f>
        <v/>
      </c>
    </row>
    <row r="9">
      <c r="A9" s="13" t="inlineStr">
        <is>
          <t>DAT_2</t>
        </is>
      </c>
      <c r="B9" s="27" t="inlineStr">
        <is>
          <t>Data</t>
        </is>
      </c>
      <c r="C9" s="27" t="inlineStr">
        <is>
          <t>High</t>
        </is>
      </c>
      <c r="D9" s="27" t="inlineStr">
        <is>
          <t>Any</t>
        </is>
      </c>
      <c r="E9" s="27" t="inlineStr">
        <is>
          <t>Any</t>
        </is>
      </c>
      <c r="F9" s="27" t="inlineStr">
        <is>
          <t>Data bus</t>
        </is>
      </c>
      <c r="G9" s="28">
        <f>COUNTIF(Pinout!$B$5:$D$36,A9)</f>
        <v/>
      </c>
      <c r="H9" s="29">
        <f>IFERROR("A"&amp;INDEX(Pinout!$A$5:$A$36,MATCH(A9,Pinout!$B$5:$B$36,0)),IFERROR("B"&amp;INDEX(Pinout!$A$5:$A$36,MATCH(A9,Pinout!$C$5:$C$36,0)),IFERROR("C"&amp;INDEX(Pinout!$A$5:$A$36,MATCH(A9,Pinout!$D$5:$D$36,0)),"NOT PLACED")))</f>
        <v/>
      </c>
    </row>
    <row r="10">
      <c r="A10" s="13" t="inlineStr">
        <is>
          <t>DAT_3</t>
        </is>
      </c>
      <c r="B10" s="27" t="inlineStr">
        <is>
          <t>Data</t>
        </is>
      </c>
      <c r="C10" s="27" t="inlineStr">
        <is>
          <t>High</t>
        </is>
      </c>
      <c r="D10" s="27" t="inlineStr">
        <is>
          <t>Any</t>
        </is>
      </c>
      <c r="E10" s="27" t="inlineStr">
        <is>
          <t>Any</t>
        </is>
      </c>
      <c r="F10" s="27" t="inlineStr">
        <is>
          <t>Data bus</t>
        </is>
      </c>
      <c r="G10" s="28">
        <f>COUNTIF(Pinout!$B$5:$D$36,A10)</f>
        <v/>
      </c>
      <c r="H10" s="29">
        <f>IFERROR("A"&amp;INDEX(Pinout!$A$5:$A$36,MATCH(A10,Pinout!$B$5:$B$36,0)),IFERROR("B"&amp;INDEX(Pinout!$A$5:$A$36,MATCH(A10,Pinout!$C$5:$C$36,0)),IFERROR("C"&amp;INDEX(Pinout!$A$5:$A$36,MATCH(A10,Pinout!$D$5:$D$36,0)),"NOT PLACED")))</f>
        <v/>
      </c>
    </row>
    <row r="11">
      <c r="A11" s="13" t="inlineStr">
        <is>
          <t>DAT_4</t>
        </is>
      </c>
      <c r="B11" s="27" t="inlineStr">
        <is>
          <t>Data</t>
        </is>
      </c>
      <c r="C11" s="27" t="inlineStr">
        <is>
          <t>High</t>
        </is>
      </c>
      <c r="D11" s="27" t="inlineStr">
        <is>
          <t>Any</t>
        </is>
      </c>
      <c r="E11" s="27" t="inlineStr">
        <is>
          <t>Any</t>
        </is>
      </c>
      <c r="F11" s="27" t="inlineStr">
        <is>
          <t>Data bus</t>
        </is>
      </c>
      <c r="G11" s="28">
        <f>COUNTIF(Pinout!$B$5:$D$36,A11)</f>
        <v/>
      </c>
      <c r="H11" s="29">
        <f>IFERROR("A"&amp;INDEX(Pinout!$A$5:$A$36,MATCH(A11,Pinout!$B$5:$B$36,0)),IFERROR("B"&amp;INDEX(Pinout!$A$5:$A$36,MATCH(A11,Pinout!$C$5:$C$36,0)),IFERROR("C"&amp;INDEX(Pinout!$A$5:$A$36,MATCH(A11,Pinout!$D$5:$D$36,0)),"NOT PLACED")))</f>
        <v/>
      </c>
    </row>
    <row r="12">
      <c r="A12" s="13" t="inlineStr">
        <is>
          <t>DAT_5</t>
        </is>
      </c>
      <c r="B12" s="27" t="inlineStr">
        <is>
          <t>Data</t>
        </is>
      </c>
      <c r="C12" s="27" t="inlineStr">
        <is>
          <t>High</t>
        </is>
      </c>
      <c r="D12" s="27" t="inlineStr">
        <is>
          <t>Any</t>
        </is>
      </c>
      <c r="E12" s="27" t="inlineStr">
        <is>
          <t>Any</t>
        </is>
      </c>
      <c r="F12" s="27" t="inlineStr">
        <is>
          <t>Data bus</t>
        </is>
      </c>
      <c r="G12" s="28">
        <f>COUNTIF(Pinout!$B$5:$D$36,A12)</f>
        <v/>
      </c>
      <c r="H12" s="29">
        <f>IFERROR("A"&amp;INDEX(Pinout!$A$5:$A$36,MATCH(A12,Pinout!$B$5:$B$36,0)),IFERROR("B"&amp;INDEX(Pinout!$A$5:$A$36,MATCH(A12,Pinout!$C$5:$C$36,0)),IFERROR("C"&amp;INDEX(Pinout!$A$5:$A$36,MATCH(A12,Pinout!$D$5:$D$36,0)),"NOT PLACED")))</f>
        <v/>
      </c>
    </row>
    <row r="13">
      <c r="A13" s="13" t="inlineStr">
        <is>
          <t>DAT_6</t>
        </is>
      </c>
      <c r="B13" s="27" t="inlineStr">
        <is>
          <t>Data</t>
        </is>
      </c>
      <c r="C13" s="27" t="inlineStr">
        <is>
          <t>High</t>
        </is>
      </c>
      <c r="D13" s="27" t="inlineStr">
        <is>
          <t>Any</t>
        </is>
      </c>
      <c r="E13" s="27" t="inlineStr">
        <is>
          <t>Any</t>
        </is>
      </c>
      <c r="F13" s="27" t="inlineStr">
        <is>
          <t>Data bus</t>
        </is>
      </c>
      <c r="G13" s="28">
        <f>COUNTIF(Pinout!$B$5:$D$36,A13)</f>
        <v/>
      </c>
      <c r="H13" s="29">
        <f>IFERROR("A"&amp;INDEX(Pinout!$A$5:$A$36,MATCH(A13,Pinout!$B$5:$B$36,0)),IFERROR("B"&amp;INDEX(Pinout!$A$5:$A$36,MATCH(A13,Pinout!$C$5:$C$36,0)),IFERROR("C"&amp;INDEX(Pinout!$A$5:$A$36,MATCH(A13,Pinout!$D$5:$D$36,0)),"NOT PLACED")))</f>
        <v/>
      </c>
    </row>
    <row r="14">
      <c r="A14" s="13" t="inlineStr">
        <is>
          <t>DAT_7</t>
        </is>
      </c>
      <c r="B14" s="27" t="inlineStr">
        <is>
          <t>Data</t>
        </is>
      </c>
      <c r="C14" s="27" t="inlineStr">
        <is>
          <t>High</t>
        </is>
      </c>
      <c r="D14" s="27" t="inlineStr">
        <is>
          <t>Any</t>
        </is>
      </c>
      <c r="E14" s="27" t="inlineStr">
        <is>
          <t>Any</t>
        </is>
      </c>
      <c r="F14" s="27" t="inlineStr">
        <is>
          <t>Data bus</t>
        </is>
      </c>
      <c r="G14" s="28">
        <f>COUNTIF(Pinout!$B$5:$D$36,A14)</f>
        <v/>
      </c>
      <c r="H14" s="29">
        <f>IFERROR("A"&amp;INDEX(Pinout!$A$5:$A$36,MATCH(A14,Pinout!$B$5:$B$36,0)),IFERROR("B"&amp;INDEX(Pinout!$A$5:$A$36,MATCH(A14,Pinout!$C$5:$C$36,0)),IFERROR("C"&amp;INDEX(Pinout!$A$5:$A$36,MATCH(A14,Pinout!$D$5:$D$36,0)),"NOT PLACED")))</f>
        <v/>
      </c>
    </row>
    <row r="15">
      <c r="A15" s="14" t="inlineStr">
        <is>
          <t>ADR_0</t>
        </is>
      </c>
      <c r="B15" s="27" t="inlineStr">
        <is>
          <t>Address</t>
        </is>
      </c>
      <c r="C15" s="27" t="inlineStr">
        <is>
          <t>High</t>
        </is>
      </c>
      <c r="D15" s="27" t="inlineStr">
        <is>
          <t>Control</t>
        </is>
      </c>
      <c r="E15" s="27" t="inlineStr">
        <is>
          <t>Memory</t>
        </is>
      </c>
      <c r="F15" s="27" t="inlineStr">
        <is>
          <t>PC address to memory</t>
        </is>
      </c>
      <c r="G15" s="28">
        <f>COUNTIF(Pinout!$B$5:$D$36,A15)</f>
        <v/>
      </c>
      <c r="H15" s="29">
        <f>IFERROR("A"&amp;INDEX(Pinout!$A$5:$A$36,MATCH(A15,Pinout!$B$5:$B$36,0)),IFERROR("B"&amp;INDEX(Pinout!$A$5:$A$36,MATCH(A15,Pinout!$C$5:$C$36,0)),IFERROR("C"&amp;INDEX(Pinout!$A$5:$A$36,MATCH(A15,Pinout!$D$5:$D$36,0)),"NOT PLACED")))</f>
        <v/>
      </c>
    </row>
    <row r="16">
      <c r="A16" s="14" t="inlineStr">
        <is>
          <t>ADR_1</t>
        </is>
      </c>
      <c r="B16" s="27" t="inlineStr">
        <is>
          <t>Address</t>
        </is>
      </c>
      <c r="C16" s="27" t="inlineStr">
        <is>
          <t>High</t>
        </is>
      </c>
      <c r="D16" s="27" t="inlineStr">
        <is>
          <t>Control</t>
        </is>
      </c>
      <c r="E16" s="27" t="inlineStr">
        <is>
          <t>Memory</t>
        </is>
      </c>
      <c r="F16" s="27" t="inlineStr">
        <is>
          <t>PC address to memory</t>
        </is>
      </c>
      <c r="G16" s="28">
        <f>COUNTIF(Pinout!$B$5:$D$36,A16)</f>
        <v/>
      </c>
      <c r="H16" s="29">
        <f>IFERROR("A"&amp;INDEX(Pinout!$A$5:$A$36,MATCH(A16,Pinout!$B$5:$B$36,0)),IFERROR("B"&amp;INDEX(Pinout!$A$5:$A$36,MATCH(A16,Pinout!$C$5:$C$36,0)),IFERROR("C"&amp;INDEX(Pinout!$A$5:$A$36,MATCH(A16,Pinout!$D$5:$D$36,0)),"NOT PLACED")))</f>
        <v/>
      </c>
    </row>
    <row r="17">
      <c r="A17" s="14" t="inlineStr">
        <is>
          <t>ADR_2</t>
        </is>
      </c>
      <c r="B17" s="27" t="inlineStr">
        <is>
          <t>Address</t>
        </is>
      </c>
      <c r="C17" s="27" t="inlineStr">
        <is>
          <t>High</t>
        </is>
      </c>
      <c r="D17" s="27" t="inlineStr">
        <is>
          <t>Control</t>
        </is>
      </c>
      <c r="E17" s="27" t="inlineStr">
        <is>
          <t>Memory</t>
        </is>
      </c>
      <c r="F17" s="27" t="inlineStr">
        <is>
          <t>PC address to memory</t>
        </is>
      </c>
      <c r="G17" s="28">
        <f>COUNTIF(Pinout!$B$5:$D$36,A17)</f>
        <v/>
      </c>
      <c r="H17" s="29">
        <f>IFERROR("A"&amp;INDEX(Pinout!$A$5:$A$36,MATCH(A17,Pinout!$B$5:$B$36,0)),IFERROR("B"&amp;INDEX(Pinout!$A$5:$A$36,MATCH(A17,Pinout!$C$5:$C$36,0)),IFERROR("C"&amp;INDEX(Pinout!$A$5:$A$36,MATCH(A17,Pinout!$D$5:$D$36,0)),"NOT PLACED")))</f>
        <v/>
      </c>
    </row>
    <row r="18">
      <c r="A18" s="14" t="inlineStr">
        <is>
          <t>ADR_3</t>
        </is>
      </c>
      <c r="B18" s="27" t="inlineStr">
        <is>
          <t>Address</t>
        </is>
      </c>
      <c r="C18" s="27" t="inlineStr">
        <is>
          <t>High</t>
        </is>
      </c>
      <c r="D18" s="27" t="inlineStr">
        <is>
          <t>Control</t>
        </is>
      </c>
      <c r="E18" s="27" t="inlineStr">
        <is>
          <t>Memory</t>
        </is>
      </c>
      <c r="F18" s="27" t="inlineStr">
        <is>
          <t>PC address to memory</t>
        </is>
      </c>
      <c r="G18" s="28">
        <f>COUNTIF(Pinout!$B$5:$D$36,A18)</f>
        <v/>
      </c>
      <c r="H18" s="29">
        <f>IFERROR("A"&amp;INDEX(Pinout!$A$5:$A$36,MATCH(A18,Pinout!$B$5:$B$36,0)),IFERROR("B"&amp;INDEX(Pinout!$A$5:$A$36,MATCH(A18,Pinout!$C$5:$C$36,0)),IFERROR("C"&amp;INDEX(Pinout!$A$5:$A$36,MATCH(A18,Pinout!$D$5:$D$36,0)),"NOT PLACED")))</f>
        <v/>
      </c>
    </row>
    <row r="19">
      <c r="A19" s="14" t="inlineStr">
        <is>
          <t>ADR_4</t>
        </is>
      </c>
      <c r="B19" s="27" t="inlineStr">
        <is>
          <t>Address</t>
        </is>
      </c>
      <c r="C19" s="27" t="inlineStr">
        <is>
          <t>High</t>
        </is>
      </c>
      <c r="D19" s="27" t="inlineStr">
        <is>
          <t>Control</t>
        </is>
      </c>
      <c r="E19" s="27" t="inlineStr">
        <is>
          <t>Memory</t>
        </is>
      </c>
      <c r="F19" s="27" t="inlineStr">
        <is>
          <t>PC address to memory</t>
        </is>
      </c>
      <c r="G19" s="28">
        <f>COUNTIF(Pinout!$B$5:$D$36,A19)</f>
        <v/>
      </c>
      <c r="H19" s="29">
        <f>IFERROR("A"&amp;INDEX(Pinout!$A$5:$A$36,MATCH(A19,Pinout!$B$5:$B$36,0)),IFERROR("B"&amp;INDEX(Pinout!$A$5:$A$36,MATCH(A19,Pinout!$C$5:$C$36,0)),IFERROR("C"&amp;INDEX(Pinout!$A$5:$A$36,MATCH(A19,Pinout!$D$5:$D$36,0)),"NOT PLACED")))</f>
        <v/>
      </c>
    </row>
    <row r="20">
      <c r="A20" s="14" t="inlineStr">
        <is>
          <t>ADR_5</t>
        </is>
      </c>
      <c r="B20" s="27" t="inlineStr">
        <is>
          <t>Address</t>
        </is>
      </c>
      <c r="C20" s="27" t="inlineStr">
        <is>
          <t>High</t>
        </is>
      </c>
      <c r="D20" s="27" t="inlineStr">
        <is>
          <t>Control</t>
        </is>
      </c>
      <c r="E20" s="27" t="inlineStr">
        <is>
          <t>Memory</t>
        </is>
      </c>
      <c r="F20" s="27" t="inlineStr">
        <is>
          <t>PC address to memory</t>
        </is>
      </c>
      <c r="G20" s="28">
        <f>COUNTIF(Pinout!$B$5:$D$36,A20)</f>
        <v/>
      </c>
      <c r="H20" s="29">
        <f>IFERROR("A"&amp;INDEX(Pinout!$A$5:$A$36,MATCH(A20,Pinout!$B$5:$B$36,0)),IFERROR("B"&amp;INDEX(Pinout!$A$5:$A$36,MATCH(A20,Pinout!$C$5:$C$36,0)),IFERROR("C"&amp;INDEX(Pinout!$A$5:$A$36,MATCH(A20,Pinout!$D$5:$D$36,0)),"NOT PLACED")))</f>
        <v/>
      </c>
    </row>
    <row r="21">
      <c r="A21" s="14" t="inlineStr">
        <is>
          <t>ADR_6</t>
        </is>
      </c>
      <c r="B21" s="27" t="inlineStr">
        <is>
          <t>Address</t>
        </is>
      </c>
      <c r="C21" s="27" t="inlineStr">
        <is>
          <t>High</t>
        </is>
      </c>
      <c r="D21" s="27" t="inlineStr">
        <is>
          <t>Control</t>
        </is>
      </c>
      <c r="E21" s="27" t="inlineStr">
        <is>
          <t>Memory</t>
        </is>
      </c>
      <c r="F21" s="27" t="inlineStr">
        <is>
          <t>PC address to memory</t>
        </is>
      </c>
      <c r="G21" s="28">
        <f>COUNTIF(Pinout!$B$5:$D$36,A21)</f>
        <v/>
      </c>
      <c r="H21" s="29">
        <f>IFERROR("A"&amp;INDEX(Pinout!$A$5:$A$36,MATCH(A21,Pinout!$B$5:$B$36,0)),IFERROR("B"&amp;INDEX(Pinout!$A$5:$A$36,MATCH(A21,Pinout!$C$5:$C$36,0)),IFERROR("C"&amp;INDEX(Pinout!$A$5:$A$36,MATCH(A21,Pinout!$D$5:$D$36,0)),"NOT PLACED")))</f>
        <v/>
      </c>
    </row>
    <row r="22">
      <c r="A22" s="14" t="inlineStr">
        <is>
          <t>ADR_7</t>
        </is>
      </c>
      <c r="B22" s="27" t="inlineStr">
        <is>
          <t>Address</t>
        </is>
      </c>
      <c r="C22" s="27" t="inlineStr">
        <is>
          <t>High</t>
        </is>
      </c>
      <c r="D22" s="27" t="inlineStr">
        <is>
          <t>Control</t>
        </is>
      </c>
      <c r="E22" s="27" t="inlineStr">
        <is>
          <t>Memory</t>
        </is>
      </c>
      <c r="F22" s="27" t="inlineStr">
        <is>
          <t>PC address to memory</t>
        </is>
      </c>
      <c r="G22" s="28">
        <f>COUNTIF(Pinout!$B$5:$D$36,A22)</f>
        <v/>
      </c>
      <c r="H22" s="29">
        <f>IFERROR("A"&amp;INDEX(Pinout!$A$5:$A$36,MATCH(A22,Pinout!$B$5:$B$36,0)),IFERROR("B"&amp;INDEX(Pinout!$A$5:$A$36,MATCH(A22,Pinout!$C$5:$C$36,0)),IFERROR("C"&amp;INDEX(Pinout!$A$5:$A$36,MATCH(A22,Pinout!$D$5:$D$36,0)),"NOT PLACED")))</f>
        <v/>
      </c>
    </row>
    <row r="23">
      <c r="A23" s="14" t="inlineStr">
        <is>
          <t>ADR_8</t>
        </is>
      </c>
      <c r="B23" s="27" t="inlineStr">
        <is>
          <t>Address</t>
        </is>
      </c>
      <c r="C23" s="27" t="inlineStr">
        <is>
          <t>High</t>
        </is>
      </c>
      <c r="D23" s="27" t="inlineStr">
        <is>
          <t>Control</t>
        </is>
      </c>
      <c r="E23" s="27" t="inlineStr">
        <is>
          <t>Memory</t>
        </is>
      </c>
      <c r="F23" s="27" t="inlineStr">
        <is>
          <t>PC address to memory</t>
        </is>
      </c>
      <c r="G23" s="28">
        <f>COUNTIF(Pinout!$B$5:$D$36,A23)</f>
        <v/>
      </c>
      <c r="H23" s="29">
        <f>IFERROR("A"&amp;INDEX(Pinout!$A$5:$A$36,MATCH(A23,Pinout!$B$5:$B$36,0)),IFERROR("B"&amp;INDEX(Pinout!$A$5:$A$36,MATCH(A23,Pinout!$C$5:$C$36,0)),IFERROR("C"&amp;INDEX(Pinout!$A$5:$A$36,MATCH(A23,Pinout!$D$5:$D$36,0)),"NOT PLACED")))</f>
        <v/>
      </c>
    </row>
    <row r="24">
      <c r="A24" s="14" t="inlineStr">
        <is>
          <t>ADR_9</t>
        </is>
      </c>
      <c r="B24" s="27" t="inlineStr">
        <is>
          <t>Address</t>
        </is>
      </c>
      <c r="C24" s="27" t="inlineStr">
        <is>
          <t>High</t>
        </is>
      </c>
      <c r="D24" s="27" t="inlineStr">
        <is>
          <t>Control</t>
        </is>
      </c>
      <c r="E24" s="27" t="inlineStr">
        <is>
          <t>Memory</t>
        </is>
      </c>
      <c r="F24" s="27" t="inlineStr">
        <is>
          <t>PC address to memory</t>
        </is>
      </c>
      <c r="G24" s="28">
        <f>COUNTIF(Pinout!$B$5:$D$36,A24)</f>
        <v/>
      </c>
      <c r="H24" s="29">
        <f>IFERROR("A"&amp;INDEX(Pinout!$A$5:$A$36,MATCH(A24,Pinout!$B$5:$B$36,0)),IFERROR("B"&amp;INDEX(Pinout!$A$5:$A$36,MATCH(A24,Pinout!$C$5:$C$36,0)),IFERROR("C"&amp;INDEX(Pinout!$A$5:$A$36,MATCH(A24,Pinout!$D$5:$D$36,0)),"NOT PLACED")))</f>
        <v/>
      </c>
    </row>
    <row r="25">
      <c r="A25" s="14" t="inlineStr">
        <is>
          <t>ADR_10</t>
        </is>
      </c>
      <c r="B25" s="27" t="inlineStr">
        <is>
          <t>Address</t>
        </is>
      </c>
      <c r="C25" s="27" t="inlineStr">
        <is>
          <t>High</t>
        </is>
      </c>
      <c r="D25" s="27" t="inlineStr">
        <is>
          <t>Control</t>
        </is>
      </c>
      <c r="E25" s="27" t="inlineStr">
        <is>
          <t>Memory</t>
        </is>
      </c>
      <c r="F25" s="27" t="inlineStr">
        <is>
          <t>PC address to memory</t>
        </is>
      </c>
      <c r="G25" s="28">
        <f>COUNTIF(Pinout!$B$5:$D$36,A25)</f>
        <v/>
      </c>
      <c r="H25" s="29">
        <f>IFERROR("A"&amp;INDEX(Pinout!$A$5:$A$36,MATCH(A25,Pinout!$B$5:$B$36,0)),IFERROR("B"&amp;INDEX(Pinout!$A$5:$A$36,MATCH(A25,Pinout!$C$5:$C$36,0)),IFERROR("C"&amp;INDEX(Pinout!$A$5:$A$36,MATCH(A25,Pinout!$D$5:$D$36,0)),"NOT PLACED")))</f>
        <v/>
      </c>
    </row>
    <row r="26">
      <c r="A26" s="14" t="inlineStr">
        <is>
          <t>ADR_11</t>
        </is>
      </c>
      <c r="B26" s="27" t="inlineStr">
        <is>
          <t>Address</t>
        </is>
      </c>
      <c r="C26" s="27" t="inlineStr">
        <is>
          <t>High</t>
        </is>
      </c>
      <c r="D26" s="27" t="inlineStr">
        <is>
          <t>Control</t>
        </is>
      </c>
      <c r="E26" s="27" t="inlineStr">
        <is>
          <t>Memory</t>
        </is>
      </c>
      <c r="F26" s="27" t="inlineStr">
        <is>
          <t>PC address to memory</t>
        </is>
      </c>
      <c r="G26" s="28">
        <f>COUNTIF(Pinout!$B$5:$D$36,A26)</f>
        <v/>
      </c>
      <c r="H26" s="29">
        <f>IFERROR("A"&amp;INDEX(Pinout!$A$5:$A$36,MATCH(A26,Pinout!$B$5:$B$36,0)),IFERROR("B"&amp;INDEX(Pinout!$A$5:$A$36,MATCH(A26,Pinout!$C$5:$C$36,0)),IFERROR("C"&amp;INDEX(Pinout!$A$5:$A$36,MATCH(A26,Pinout!$D$5:$D$36,0)),"NOT PLACED")))</f>
        <v/>
      </c>
    </row>
    <row r="27">
      <c r="A27" s="14" t="inlineStr">
        <is>
          <t>ADR_12</t>
        </is>
      </c>
      <c r="B27" s="27" t="inlineStr">
        <is>
          <t>Address</t>
        </is>
      </c>
      <c r="C27" s="27" t="inlineStr">
        <is>
          <t>High</t>
        </is>
      </c>
      <c r="D27" s="27" t="inlineStr">
        <is>
          <t>Control</t>
        </is>
      </c>
      <c r="E27" s="27" t="inlineStr">
        <is>
          <t>Memory</t>
        </is>
      </c>
      <c r="F27" s="27" t="inlineStr">
        <is>
          <t>PC address to memory</t>
        </is>
      </c>
      <c r="G27" s="28">
        <f>COUNTIF(Pinout!$B$5:$D$36,A27)</f>
        <v/>
      </c>
      <c r="H27" s="29">
        <f>IFERROR("A"&amp;INDEX(Pinout!$A$5:$A$36,MATCH(A27,Pinout!$B$5:$B$36,0)),IFERROR("B"&amp;INDEX(Pinout!$A$5:$A$36,MATCH(A27,Pinout!$C$5:$C$36,0)),IFERROR("C"&amp;INDEX(Pinout!$A$5:$A$36,MATCH(A27,Pinout!$D$5:$D$36,0)),"NOT PLACED")))</f>
        <v/>
      </c>
    </row>
    <row r="28">
      <c r="A28" s="14" t="inlineStr">
        <is>
          <t>ADR_13</t>
        </is>
      </c>
      <c r="B28" s="27" t="inlineStr">
        <is>
          <t>Address</t>
        </is>
      </c>
      <c r="C28" s="27" t="inlineStr">
        <is>
          <t>High</t>
        </is>
      </c>
      <c r="D28" s="27" t="inlineStr">
        <is>
          <t>Control</t>
        </is>
      </c>
      <c r="E28" s="27" t="inlineStr">
        <is>
          <t>Memory</t>
        </is>
      </c>
      <c r="F28" s="27" t="inlineStr">
        <is>
          <t>PC address to memory</t>
        </is>
      </c>
      <c r="G28" s="28">
        <f>COUNTIF(Pinout!$B$5:$D$36,A28)</f>
        <v/>
      </c>
      <c r="H28" s="29">
        <f>IFERROR("A"&amp;INDEX(Pinout!$A$5:$A$36,MATCH(A28,Pinout!$B$5:$B$36,0)),IFERROR("B"&amp;INDEX(Pinout!$A$5:$A$36,MATCH(A28,Pinout!$C$5:$C$36,0)),IFERROR("C"&amp;INDEX(Pinout!$A$5:$A$36,MATCH(A28,Pinout!$D$5:$D$36,0)),"NOT PLACED")))</f>
        <v/>
      </c>
    </row>
    <row r="29">
      <c r="A29" s="14" t="inlineStr">
        <is>
          <t>ADR_14</t>
        </is>
      </c>
      <c r="B29" s="27" t="inlineStr">
        <is>
          <t>Address</t>
        </is>
      </c>
      <c r="C29" s="27" t="inlineStr">
        <is>
          <t>High</t>
        </is>
      </c>
      <c r="D29" s="27" t="inlineStr">
        <is>
          <t>Control</t>
        </is>
      </c>
      <c r="E29" s="27" t="inlineStr">
        <is>
          <t>Memory</t>
        </is>
      </c>
      <c r="F29" s="27" t="inlineStr">
        <is>
          <t>PC address to memory</t>
        </is>
      </c>
      <c r="G29" s="28">
        <f>COUNTIF(Pinout!$B$5:$D$36,A29)</f>
        <v/>
      </c>
      <c r="H29" s="29">
        <f>IFERROR("A"&amp;INDEX(Pinout!$A$5:$A$36,MATCH(A29,Pinout!$B$5:$B$36,0)),IFERROR("B"&amp;INDEX(Pinout!$A$5:$A$36,MATCH(A29,Pinout!$C$5:$C$36,0)),IFERROR("C"&amp;INDEX(Pinout!$A$5:$A$36,MATCH(A29,Pinout!$D$5:$D$36,0)),"NOT PLACED")))</f>
        <v/>
      </c>
    </row>
    <row r="30">
      <c r="A30" s="14" t="inlineStr">
        <is>
          <t>ADR_15</t>
        </is>
      </c>
      <c r="B30" s="27" t="inlineStr">
        <is>
          <t>Address</t>
        </is>
      </c>
      <c r="C30" s="27" t="inlineStr">
        <is>
          <t>High</t>
        </is>
      </c>
      <c r="D30" s="27" t="inlineStr">
        <is>
          <t>Control</t>
        </is>
      </c>
      <c r="E30" s="27" t="inlineStr">
        <is>
          <t>Memory</t>
        </is>
      </c>
      <c r="F30" s="27" t="inlineStr">
        <is>
          <t>PC address to memory</t>
        </is>
      </c>
      <c r="G30" s="28">
        <f>COUNTIF(Pinout!$B$5:$D$36,A30)</f>
        <v/>
      </c>
      <c r="H30" s="29">
        <f>IFERROR("A"&amp;INDEX(Pinout!$A$5:$A$36,MATCH(A30,Pinout!$B$5:$B$36,0)),IFERROR("B"&amp;INDEX(Pinout!$A$5:$A$36,MATCH(A30,Pinout!$C$5:$C$36,0)),IFERROR("C"&amp;INDEX(Pinout!$A$5:$A$36,MATCH(A30,Pinout!$D$5:$D$36,0)),"NOT PLACED")))</f>
        <v/>
      </c>
    </row>
    <row r="31">
      <c r="A31" s="15" t="inlineStr">
        <is>
          <t>IR0_0</t>
        </is>
      </c>
      <c r="B31" s="27" t="inlineStr">
        <is>
          <t>IR</t>
        </is>
      </c>
      <c r="C31" s="27" t="inlineStr">
        <is>
          <t>High</t>
        </is>
      </c>
      <c r="D31" s="27" t="inlineStr">
        <is>
          <t>Control</t>
        </is>
      </c>
      <c r="E31" s="27" t="inlineStr">
        <is>
          <t>Registers</t>
        </is>
      </c>
      <c r="F31" s="27" t="inlineStr">
        <is>
          <t>Register selects Ra / Rd</t>
        </is>
      </c>
      <c r="G31" s="28">
        <f>COUNTIF(Pinout!$B$5:$D$36,A31)</f>
        <v/>
      </c>
      <c r="H31" s="29">
        <f>IFERROR("A"&amp;INDEX(Pinout!$A$5:$A$36,MATCH(A31,Pinout!$B$5:$B$36,0)),IFERROR("B"&amp;INDEX(Pinout!$A$5:$A$36,MATCH(A31,Pinout!$C$5:$C$36,0)),IFERROR("C"&amp;INDEX(Pinout!$A$5:$A$36,MATCH(A31,Pinout!$D$5:$D$36,0)),"NOT PLACED")))</f>
        <v/>
      </c>
    </row>
    <row r="32">
      <c r="A32" s="15" t="inlineStr">
        <is>
          <t>IR0_1</t>
        </is>
      </c>
      <c r="B32" s="27" t="inlineStr">
        <is>
          <t>IR</t>
        </is>
      </c>
      <c r="C32" s="27" t="inlineStr">
        <is>
          <t>High</t>
        </is>
      </c>
      <c r="D32" s="27" t="inlineStr">
        <is>
          <t>Control</t>
        </is>
      </c>
      <c r="E32" s="27" t="inlineStr">
        <is>
          <t>Registers</t>
        </is>
      </c>
      <c r="F32" s="27" t="inlineStr">
        <is>
          <t>Register selects Ra / Rd</t>
        </is>
      </c>
      <c r="G32" s="28">
        <f>COUNTIF(Pinout!$B$5:$D$36,A32)</f>
        <v/>
      </c>
      <c r="H32" s="29">
        <f>IFERROR("A"&amp;INDEX(Pinout!$A$5:$A$36,MATCH(A32,Pinout!$B$5:$B$36,0)),IFERROR("B"&amp;INDEX(Pinout!$A$5:$A$36,MATCH(A32,Pinout!$C$5:$C$36,0)),IFERROR("C"&amp;INDEX(Pinout!$A$5:$A$36,MATCH(A32,Pinout!$D$5:$D$36,0)),"NOT PLACED")))</f>
        <v/>
      </c>
    </row>
    <row r="33">
      <c r="A33" s="15" t="inlineStr">
        <is>
          <t>IR0_2</t>
        </is>
      </c>
      <c r="B33" s="27" t="inlineStr">
        <is>
          <t>IR</t>
        </is>
      </c>
      <c r="C33" s="27" t="inlineStr">
        <is>
          <t>High</t>
        </is>
      </c>
      <c r="D33" s="27" t="inlineStr">
        <is>
          <t>Control</t>
        </is>
      </c>
      <c r="E33" s="27" t="inlineStr">
        <is>
          <t>Registers</t>
        </is>
      </c>
      <c r="F33" s="27" t="inlineStr">
        <is>
          <t>Register selects Ra / Rd</t>
        </is>
      </c>
      <c r="G33" s="28">
        <f>COUNTIF(Pinout!$B$5:$D$36,A33)</f>
        <v/>
      </c>
      <c r="H33" s="29">
        <f>IFERROR("A"&amp;INDEX(Pinout!$A$5:$A$36,MATCH(A33,Pinout!$B$5:$B$36,0)),IFERROR("B"&amp;INDEX(Pinout!$A$5:$A$36,MATCH(A33,Pinout!$C$5:$C$36,0)),IFERROR("C"&amp;INDEX(Pinout!$A$5:$A$36,MATCH(A33,Pinout!$D$5:$D$36,0)),"NOT PLACED")))</f>
        <v/>
      </c>
    </row>
    <row r="34">
      <c r="A34" s="15" t="inlineStr">
        <is>
          <t>IR0_3</t>
        </is>
      </c>
      <c r="B34" s="27" t="inlineStr">
        <is>
          <t>IR</t>
        </is>
      </c>
      <c r="C34" s="27" t="inlineStr">
        <is>
          <t>High</t>
        </is>
      </c>
      <c r="D34" s="27" t="inlineStr">
        <is>
          <t>Control</t>
        </is>
      </c>
      <c r="E34" s="27" t="inlineStr">
        <is>
          <t>Registers</t>
        </is>
      </c>
      <c r="F34" s="27" t="inlineStr">
        <is>
          <t>Register selects Ra / Rd</t>
        </is>
      </c>
      <c r="G34" s="28">
        <f>COUNTIF(Pinout!$B$5:$D$36,A34)</f>
        <v/>
      </c>
      <c r="H34" s="29">
        <f>IFERROR("A"&amp;INDEX(Pinout!$A$5:$A$36,MATCH(A34,Pinout!$B$5:$B$36,0)),IFERROR("B"&amp;INDEX(Pinout!$A$5:$A$36,MATCH(A34,Pinout!$C$5:$C$36,0)),IFERROR("C"&amp;INDEX(Pinout!$A$5:$A$36,MATCH(A34,Pinout!$D$5:$D$36,0)),"NOT PLACED")))</f>
        <v/>
      </c>
    </row>
    <row r="35">
      <c r="A35" s="15" t="inlineStr">
        <is>
          <t>IR1_0</t>
        </is>
      </c>
      <c r="B35" s="27" t="inlineStr">
        <is>
          <t>IR</t>
        </is>
      </c>
      <c r="C35" s="27" t="inlineStr">
        <is>
          <t>High</t>
        </is>
      </c>
      <c r="D35" s="27" t="inlineStr">
        <is>
          <t>Control</t>
        </is>
      </c>
      <c r="E35" s="27" t="inlineStr">
        <is>
          <t>ALU</t>
        </is>
      </c>
      <c r="F35" s="27" t="inlineStr">
        <is>
          <t>ALU function field</t>
        </is>
      </c>
      <c r="G35" s="28">
        <f>COUNTIF(Pinout!$B$5:$D$36,A35)</f>
        <v/>
      </c>
      <c r="H35" s="29">
        <f>IFERROR("A"&amp;INDEX(Pinout!$A$5:$A$36,MATCH(A35,Pinout!$B$5:$B$36,0)),IFERROR("B"&amp;INDEX(Pinout!$A$5:$A$36,MATCH(A35,Pinout!$C$5:$C$36,0)),IFERROR("C"&amp;INDEX(Pinout!$A$5:$A$36,MATCH(A35,Pinout!$D$5:$D$36,0)),"NOT PLACED")))</f>
        <v/>
      </c>
    </row>
    <row r="36">
      <c r="A36" s="15" t="inlineStr">
        <is>
          <t>IR1_1</t>
        </is>
      </c>
      <c r="B36" s="27" t="inlineStr">
        <is>
          <t>IR</t>
        </is>
      </c>
      <c r="C36" s="27" t="inlineStr">
        <is>
          <t>High</t>
        </is>
      </c>
      <c r="D36" s="27" t="inlineStr">
        <is>
          <t>Control</t>
        </is>
      </c>
      <c r="E36" s="27" t="inlineStr">
        <is>
          <t>ALU</t>
        </is>
      </c>
      <c r="F36" s="27" t="inlineStr">
        <is>
          <t>ALU function field</t>
        </is>
      </c>
      <c r="G36" s="28">
        <f>COUNTIF(Pinout!$B$5:$D$36,A36)</f>
        <v/>
      </c>
      <c r="H36" s="29">
        <f>IFERROR("A"&amp;INDEX(Pinout!$A$5:$A$36,MATCH(A36,Pinout!$B$5:$B$36,0)),IFERROR("B"&amp;INDEX(Pinout!$A$5:$A$36,MATCH(A36,Pinout!$C$5:$C$36,0)),IFERROR("C"&amp;INDEX(Pinout!$A$5:$A$36,MATCH(A36,Pinout!$D$5:$D$36,0)),"NOT PLACED")))</f>
        <v/>
      </c>
    </row>
    <row r="37">
      <c r="A37" s="15" t="inlineStr">
        <is>
          <t>IR1_2</t>
        </is>
      </c>
      <c r="B37" s="27" t="inlineStr">
        <is>
          <t>IR</t>
        </is>
      </c>
      <c r="C37" s="27" t="inlineStr">
        <is>
          <t>High</t>
        </is>
      </c>
      <c r="D37" s="27" t="inlineStr">
        <is>
          <t>Control</t>
        </is>
      </c>
      <c r="E37" s="27" t="inlineStr">
        <is>
          <t>ALU</t>
        </is>
      </c>
      <c r="F37" s="27" t="inlineStr">
        <is>
          <t>ALU function field</t>
        </is>
      </c>
      <c r="G37" s="28">
        <f>COUNTIF(Pinout!$B$5:$D$36,A37)</f>
        <v/>
      </c>
      <c r="H37" s="29">
        <f>IFERROR("A"&amp;INDEX(Pinout!$A$5:$A$36,MATCH(A37,Pinout!$B$5:$B$36,0)),IFERROR("B"&amp;INDEX(Pinout!$A$5:$A$36,MATCH(A37,Pinout!$C$5:$C$36,0)),IFERROR("C"&amp;INDEX(Pinout!$A$5:$A$36,MATCH(A37,Pinout!$D$5:$D$36,0)),"NOT PLACED")))</f>
        <v/>
      </c>
    </row>
    <row r="38">
      <c r="A38" s="15" t="inlineStr">
        <is>
          <t>IR1_6</t>
        </is>
      </c>
      <c r="B38" s="27" t="inlineStr">
        <is>
          <t>IR</t>
        </is>
      </c>
      <c r="C38" s="27" t="inlineStr">
        <is>
          <t>High</t>
        </is>
      </c>
      <c r="D38" s="27" t="inlineStr">
        <is>
          <t>Control</t>
        </is>
      </c>
      <c r="E38" s="27" t="inlineStr">
        <is>
          <t>Registers</t>
        </is>
      </c>
      <c r="F38" s="27" t="inlineStr">
        <is>
          <t>Register select Rb</t>
        </is>
      </c>
      <c r="G38" s="28">
        <f>COUNTIF(Pinout!$B$5:$D$36,A38)</f>
        <v/>
      </c>
      <c r="H38" s="29">
        <f>IFERROR("A"&amp;INDEX(Pinout!$A$5:$A$36,MATCH(A38,Pinout!$B$5:$B$36,0)),IFERROR("B"&amp;INDEX(Pinout!$A$5:$A$36,MATCH(A38,Pinout!$C$5:$C$36,0)),IFERROR("C"&amp;INDEX(Pinout!$A$5:$A$36,MATCH(A38,Pinout!$D$5:$D$36,0)),"NOT PLACED")))</f>
        <v/>
      </c>
    </row>
    <row r="39">
      <c r="A39" s="15" t="inlineStr">
        <is>
          <t>IR1_7</t>
        </is>
      </c>
      <c r="B39" s="27" t="inlineStr">
        <is>
          <t>IR</t>
        </is>
      </c>
      <c r="C39" s="27" t="inlineStr">
        <is>
          <t>High</t>
        </is>
      </c>
      <c r="D39" s="27" t="inlineStr">
        <is>
          <t>Control</t>
        </is>
      </c>
      <c r="E39" s="27" t="inlineStr">
        <is>
          <t>Registers</t>
        </is>
      </c>
      <c r="F39" s="27" t="inlineStr">
        <is>
          <t>Register select Rb</t>
        </is>
      </c>
      <c r="G39" s="28">
        <f>COUNTIF(Pinout!$B$5:$D$36,A39)</f>
        <v/>
      </c>
      <c r="H39" s="29">
        <f>IFERROR("A"&amp;INDEX(Pinout!$A$5:$A$36,MATCH(A39,Pinout!$B$5:$B$36,0)),IFERROR("B"&amp;INDEX(Pinout!$A$5:$A$36,MATCH(A39,Pinout!$C$5:$C$36,0)),IFERROR("C"&amp;INDEX(Pinout!$A$5:$A$36,MATCH(A39,Pinout!$D$5:$D$36,0)),"NOT PLACED")))</f>
        <v/>
      </c>
    </row>
    <row r="40">
      <c r="A40" s="17" t="inlineStr">
        <is>
          <t>/RA_OUT</t>
        </is>
      </c>
      <c r="B40" s="27" t="inlineStr">
        <is>
          <t>Control</t>
        </is>
      </c>
      <c r="C40" s="27" t="inlineStr">
        <is>
          <t>Low</t>
        </is>
      </c>
      <c r="D40" s="27" t="inlineStr">
        <is>
          <t>Control</t>
        </is>
      </c>
      <c r="E40" s="27" t="inlineStr">
        <is>
          <t>Registers</t>
        </is>
      </c>
      <c r="F40" s="27" t="inlineStr">
        <is>
          <t>Ra drives bus</t>
        </is>
      </c>
      <c r="G40" s="28">
        <f>COUNTIF(Pinout!$B$5:$D$36,A40)</f>
        <v/>
      </c>
      <c r="H40" s="29">
        <f>IFERROR("A"&amp;INDEX(Pinout!$A$5:$A$36,MATCH(A40,Pinout!$B$5:$B$36,0)),IFERROR("B"&amp;INDEX(Pinout!$A$5:$A$36,MATCH(A40,Pinout!$C$5:$C$36,0)),IFERROR("C"&amp;INDEX(Pinout!$A$5:$A$36,MATCH(A40,Pinout!$D$5:$D$36,0)),"NOT PLACED")))</f>
        <v/>
      </c>
    </row>
    <row r="41">
      <c r="A41" s="17" t="inlineStr">
        <is>
          <t>/RB_OUT</t>
        </is>
      </c>
      <c r="B41" s="27" t="inlineStr">
        <is>
          <t>Control</t>
        </is>
      </c>
      <c r="C41" s="27" t="inlineStr">
        <is>
          <t>Low</t>
        </is>
      </c>
      <c r="D41" s="27" t="inlineStr">
        <is>
          <t>Control</t>
        </is>
      </c>
      <c r="E41" s="27" t="inlineStr">
        <is>
          <t>Registers</t>
        </is>
      </c>
      <c r="F41" s="27" t="inlineStr">
        <is>
          <t>Rb drives bus</t>
        </is>
      </c>
      <c r="G41" s="28">
        <f>COUNTIF(Pinout!$B$5:$D$36,A41)</f>
        <v/>
      </c>
      <c r="H41" s="29">
        <f>IFERROR("A"&amp;INDEX(Pinout!$A$5:$A$36,MATCH(A41,Pinout!$B$5:$B$36,0)),IFERROR("B"&amp;INDEX(Pinout!$A$5:$A$36,MATCH(A41,Pinout!$C$5:$C$36,0)),IFERROR("C"&amp;INDEX(Pinout!$A$5:$A$36,MATCH(A41,Pinout!$D$5:$D$36,0)),"NOT PLACED")))</f>
        <v/>
      </c>
    </row>
    <row r="42">
      <c r="A42" s="17" t="inlineStr">
        <is>
          <t>/RD_IN</t>
        </is>
      </c>
      <c r="B42" s="27" t="inlineStr">
        <is>
          <t>Control</t>
        </is>
      </c>
      <c r="C42" s="27" t="inlineStr">
        <is>
          <t>Low</t>
        </is>
      </c>
      <c r="D42" s="27" t="inlineStr">
        <is>
          <t>Control</t>
        </is>
      </c>
      <c r="E42" s="27" t="inlineStr">
        <is>
          <t>Registers</t>
        </is>
      </c>
      <c r="F42" s="27" t="inlineStr">
        <is>
          <t>Load Rd from bus</t>
        </is>
      </c>
      <c r="G42" s="28">
        <f>COUNTIF(Pinout!$B$5:$D$36,A42)</f>
        <v/>
      </c>
      <c r="H42" s="29">
        <f>IFERROR("A"&amp;INDEX(Pinout!$A$5:$A$36,MATCH(A42,Pinout!$B$5:$B$36,0)),IFERROR("B"&amp;INDEX(Pinout!$A$5:$A$36,MATCH(A42,Pinout!$C$5:$C$36,0)),IFERROR("C"&amp;INDEX(Pinout!$A$5:$A$36,MATCH(A42,Pinout!$D$5:$D$36,0)),"NOT PLACED")))</f>
        <v/>
      </c>
    </row>
    <row r="43">
      <c r="A43" s="17" t="inlineStr">
        <is>
          <t>/X_IN</t>
        </is>
      </c>
      <c r="B43" s="27" t="inlineStr">
        <is>
          <t>Control</t>
        </is>
      </c>
      <c r="C43" s="27" t="inlineStr">
        <is>
          <t>Low</t>
        </is>
      </c>
      <c r="D43" s="27" t="inlineStr">
        <is>
          <t>Control</t>
        </is>
      </c>
      <c r="E43" s="27" t="inlineStr">
        <is>
          <t>ALU</t>
        </is>
      </c>
      <c r="F43" s="27" t="inlineStr">
        <is>
          <t>Load X operand</t>
        </is>
      </c>
      <c r="G43" s="28">
        <f>COUNTIF(Pinout!$B$5:$D$36,A43)</f>
        <v/>
      </c>
      <c r="H43" s="29">
        <f>IFERROR("A"&amp;INDEX(Pinout!$A$5:$A$36,MATCH(A43,Pinout!$B$5:$B$36,0)),IFERROR("B"&amp;INDEX(Pinout!$A$5:$A$36,MATCH(A43,Pinout!$C$5:$C$36,0)),IFERROR("C"&amp;INDEX(Pinout!$A$5:$A$36,MATCH(A43,Pinout!$D$5:$D$36,0)),"NOT PLACED")))</f>
        <v/>
      </c>
    </row>
    <row r="44">
      <c r="A44" s="17" t="inlineStr">
        <is>
          <t>/Y_IN</t>
        </is>
      </c>
      <c r="B44" s="27" t="inlineStr">
        <is>
          <t>Control</t>
        </is>
      </c>
      <c r="C44" s="27" t="inlineStr">
        <is>
          <t>Low</t>
        </is>
      </c>
      <c r="D44" s="27" t="inlineStr">
        <is>
          <t>Control</t>
        </is>
      </c>
      <c r="E44" s="27" t="inlineStr">
        <is>
          <t>ALU</t>
        </is>
      </c>
      <c r="F44" s="27" t="inlineStr">
        <is>
          <t>Load Y operand</t>
        </is>
      </c>
      <c r="G44" s="28">
        <f>COUNTIF(Pinout!$B$5:$D$36,A44)</f>
        <v/>
      </c>
      <c r="H44" s="29">
        <f>IFERROR("A"&amp;INDEX(Pinout!$A$5:$A$36,MATCH(A44,Pinout!$B$5:$B$36,0)),IFERROR("B"&amp;INDEX(Pinout!$A$5:$A$36,MATCH(A44,Pinout!$C$5:$C$36,0)),IFERROR("C"&amp;INDEX(Pinout!$A$5:$A$36,MATCH(A44,Pinout!$D$5:$D$36,0)),"NOT PLACED")))</f>
        <v/>
      </c>
    </row>
    <row r="45">
      <c r="A45" s="17" t="inlineStr">
        <is>
          <t>/ALU_OUT</t>
        </is>
      </c>
      <c r="B45" s="27" t="inlineStr">
        <is>
          <t>Control</t>
        </is>
      </c>
      <c r="C45" s="27" t="inlineStr">
        <is>
          <t>Low</t>
        </is>
      </c>
      <c r="D45" s="27" t="inlineStr">
        <is>
          <t>Control</t>
        </is>
      </c>
      <c r="E45" s="27" t="inlineStr">
        <is>
          <t>ALU</t>
        </is>
      </c>
      <c r="F45" s="27" t="inlineStr">
        <is>
          <t>ALU result drives bus</t>
        </is>
      </c>
      <c r="G45" s="28">
        <f>COUNTIF(Pinout!$B$5:$D$36,A45)</f>
        <v/>
      </c>
      <c r="H45" s="29">
        <f>IFERROR("A"&amp;INDEX(Pinout!$A$5:$A$36,MATCH(A45,Pinout!$B$5:$B$36,0)),IFERROR("B"&amp;INDEX(Pinout!$A$5:$A$36,MATCH(A45,Pinout!$C$5:$C$36,0)),IFERROR("C"&amp;INDEX(Pinout!$A$5:$A$36,MATCH(A45,Pinout!$D$5:$D$36,0)),"NOT PLACED")))</f>
        <v/>
      </c>
    </row>
    <row r="46">
      <c r="A46" s="17" t="inlineStr">
        <is>
          <t>/F_IN</t>
        </is>
      </c>
      <c r="B46" s="27" t="inlineStr">
        <is>
          <t>Control</t>
        </is>
      </c>
      <c r="C46" s="27" t="inlineStr">
        <is>
          <t>Low</t>
        </is>
      </c>
      <c r="D46" s="27" t="inlineStr">
        <is>
          <t>Control</t>
        </is>
      </c>
      <c r="E46" s="27" t="inlineStr">
        <is>
          <t>ALU</t>
        </is>
      </c>
      <c r="F46" s="27" t="inlineStr">
        <is>
          <t>Latch flags</t>
        </is>
      </c>
      <c r="G46" s="28">
        <f>COUNTIF(Pinout!$B$5:$D$36,A46)</f>
        <v/>
      </c>
      <c r="H46" s="29">
        <f>IFERROR("A"&amp;INDEX(Pinout!$A$5:$A$36,MATCH(A46,Pinout!$B$5:$B$36,0)),IFERROR("B"&amp;INDEX(Pinout!$A$5:$A$36,MATCH(A46,Pinout!$C$5:$C$36,0)),IFERROR("C"&amp;INDEX(Pinout!$A$5:$A$36,MATCH(A46,Pinout!$D$5:$D$36,0)),"NOT PLACED")))</f>
        <v/>
      </c>
    </row>
    <row r="47">
      <c r="A47" s="17" t="inlineStr">
        <is>
          <t>ALU_FUNC</t>
        </is>
      </c>
      <c r="B47" s="27" t="inlineStr">
        <is>
          <t>Control</t>
        </is>
      </c>
      <c r="C47" s="27" t="inlineStr">
        <is>
          <t>High</t>
        </is>
      </c>
      <c r="D47" s="27" t="inlineStr">
        <is>
          <t>Control</t>
        </is>
      </c>
      <c r="E47" s="27" t="inlineStr">
        <is>
          <t>ALU</t>
        </is>
      </c>
      <c r="F47" s="27" t="inlineStr">
        <is>
          <t>Use IR1 function field</t>
        </is>
      </c>
      <c r="G47" s="28">
        <f>COUNTIF(Pinout!$B$5:$D$36,A47)</f>
        <v/>
      </c>
      <c r="H47" s="29">
        <f>IFERROR("A"&amp;INDEX(Pinout!$A$5:$A$36,MATCH(A47,Pinout!$B$5:$B$36,0)),IFERROR("B"&amp;INDEX(Pinout!$A$5:$A$36,MATCH(A47,Pinout!$C$5:$C$36,0)),IFERROR("C"&amp;INDEX(Pinout!$A$5:$A$36,MATCH(A47,Pinout!$D$5:$D$36,0)),"NOT PLACED")))</f>
        <v/>
      </c>
    </row>
    <row r="48">
      <c r="A48" s="17" t="inlineStr">
        <is>
          <t>/MAR_IN</t>
        </is>
      </c>
      <c r="B48" s="27" t="inlineStr">
        <is>
          <t>Control</t>
        </is>
      </c>
      <c r="C48" s="27" t="inlineStr">
        <is>
          <t>Low</t>
        </is>
      </c>
      <c r="D48" s="27" t="inlineStr">
        <is>
          <t>Control</t>
        </is>
      </c>
      <c r="E48" s="27" t="inlineStr">
        <is>
          <t>Memory</t>
        </is>
      </c>
      <c r="F48" s="27" t="inlineStr">
        <is>
          <t>Load MAR</t>
        </is>
      </c>
      <c r="G48" s="28">
        <f>COUNTIF(Pinout!$B$5:$D$36,A48)</f>
        <v/>
      </c>
      <c r="H48" s="29">
        <f>IFERROR("A"&amp;INDEX(Pinout!$A$5:$A$36,MATCH(A48,Pinout!$B$5:$B$36,0)),IFERROR("B"&amp;INDEX(Pinout!$A$5:$A$36,MATCH(A48,Pinout!$C$5:$C$36,0)),IFERROR("C"&amp;INDEX(Pinout!$A$5:$A$36,MATCH(A48,Pinout!$D$5:$D$36,0)),"NOT PLACED")))</f>
        <v/>
      </c>
    </row>
    <row r="49">
      <c r="A49" s="17" t="inlineStr">
        <is>
          <t>/RAM_IN</t>
        </is>
      </c>
      <c r="B49" s="27" t="inlineStr">
        <is>
          <t>Control</t>
        </is>
      </c>
      <c r="C49" s="27" t="inlineStr">
        <is>
          <t>Low</t>
        </is>
      </c>
      <c r="D49" s="27" t="inlineStr">
        <is>
          <t>Control</t>
        </is>
      </c>
      <c r="E49" s="27" t="inlineStr">
        <is>
          <t>Memory</t>
        </is>
      </c>
      <c r="F49" s="27" t="inlineStr">
        <is>
          <t>Write RAM from bus</t>
        </is>
      </c>
      <c r="G49" s="28">
        <f>COUNTIF(Pinout!$B$5:$D$36,A49)</f>
        <v/>
      </c>
      <c r="H49" s="29">
        <f>IFERROR("A"&amp;INDEX(Pinout!$A$5:$A$36,MATCH(A49,Pinout!$B$5:$B$36,0)),IFERROR("B"&amp;INDEX(Pinout!$A$5:$A$36,MATCH(A49,Pinout!$C$5:$C$36,0)),IFERROR("C"&amp;INDEX(Pinout!$A$5:$A$36,MATCH(A49,Pinout!$D$5:$D$36,0)),"NOT PLACED")))</f>
        <v/>
      </c>
    </row>
    <row r="50">
      <c r="A50" s="17" t="inlineStr">
        <is>
          <t>/RAM_OUT</t>
        </is>
      </c>
      <c r="B50" s="27" t="inlineStr">
        <is>
          <t>Control</t>
        </is>
      </c>
      <c r="C50" s="27" t="inlineStr">
        <is>
          <t>Low</t>
        </is>
      </c>
      <c r="D50" s="27" t="inlineStr">
        <is>
          <t>Control</t>
        </is>
      </c>
      <c r="E50" s="27" t="inlineStr">
        <is>
          <t>Memory</t>
        </is>
      </c>
      <c r="F50" s="27" t="inlineStr">
        <is>
          <t>RAM drives bus</t>
        </is>
      </c>
      <c r="G50" s="28">
        <f>COUNTIF(Pinout!$B$5:$D$36,A50)</f>
        <v/>
      </c>
      <c r="H50" s="29">
        <f>IFERROR("A"&amp;INDEX(Pinout!$A$5:$A$36,MATCH(A50,Pinout!$B$5:$B$36,0)),IFERROR("B"&amp;INDEX(Pinout!$A$5:$A$36,MATCH(A50,Pinout!$C$5:$C$36,0)),IFERROR("C"&amp;INDEX(Pinout!$A$5:$A$36,MATCH(A50,Pinout!$D$5:$D$36,0)),"NOT PLACED")))</f>
        <v/>
      </c>
    </row>
    <row r="51">
      <c r="A51" s="17" t="inlineStr">
        <is>
          <t>/THI_IN</t>
        </is>
      </c>
      <c r="B51" s="27" t="inlineStr">
        <is>
          <t>Control</t>
        </is>
      </c>
      <c r="C51" s="27" t="inlineStr">
        <is>
          <t>Low</t>
        </is>
      </c>
      <c r="D51" s="27" t="inlineStr">
        <is>
          <t>Control</t>
        </is>
      </c>
      <c r="E51" s="27" t="inlineStr">
        <is>
          <t>Memory</t>
        </is>
      </c>
      <c r="F51" s="27" t="inlineStr">
        <is>
          <t>Load T high</t>
        </is>
      </c>
      <c r="G51" s="28">
        <f>COUNTIF(Pinout!$B$5:$D$36,A51)</f>
        <v/>
      </c>
      <c r="H51" s="29">
        <f>IFERROR("A"&amp;INDEX(Pinout!$A$5:$A$36,MATCH(A51,Pinout!$B$5:$B$36,0)),IFERROR("B"&amp;INDEX(Pinout!$A$5:$A$36,MATCH(A51,Pinout!$C$5:$C$36,0)),IFERROR("C"&amp;INDEX(Pinout!$A$5:$A$36,MATCH(A51,Pinout!$D$5:$D$36,0)),"NOT PLACED")))</f>
        <v/>
      </c>
    </row>
    <row r="52">
      <c r="A52" s="17" t="inlineStr">
        <is>
          <t>/TLO_IN</t>
        </is>
      </c>
      <c r="B52" s="27" t="inlineStr">
        <is>
          <t>Control</t>
        </is>
      </c>
      <c r="C52" s="27" t="inlineStr">
        <is>
          <t>Low</t>
        </is>
      </c>
      <c r="D52" s="27" t="inlineStr">
        <is>
          <t>Control</t>
        </is>
      </c>
      <c r="E52" s="27" t="inlineStr">
        <is>
          <t>Memory</t>
        </is>
      </c>
      <c r="F52" s="27" t="inlineStr">
        <is>
          <t>Load T low</t>
        </is>
      </c>
      <c r="G52" s="28">
        <f>COUNTIF(Pinout!$B$5:$D$36,A52)</f>
        <v/>
      </c>
      <c r="H52" s="29">
        <f>IFERROR("A"&amp;INDEX(Pinout!$A$5:$A$36,MATCH(A52,Pinout!$B$5:$B$36,0)),IFERROR("B"&amp;INDEX(Pinout!$A$5:$A$36,MATCH(A52,Pinout!$C$5:$C$36,0)),IFERROR("C"&amp;INDEX(Pinout!$A$5:$A$36,MATCH(A52,Pinout!$D$5:$D$36,0)),"NOT PLACED")))</f>
        <v/>
      </c>
    </row>
    <row r="53">
      <c r="A53" s="17" t="inlineStr">
        <is>
          <t>/T_OUT</t>
        </is>
      </c>
      <c r="B53" s="27" t="inlineStr">
        <is>
          <t>Control</t>
        </is>
      </c>
      <c r="C53" s="27" t="inlineStr">
        <is>
          <t>Low</t>
        </is>
      </c>
      <c r="D53" s="27" t="inlineStr">
        <is>
          <t>Control</t>
        </is>
      </c>
      <c r="E53" s="27" t="inlineStr">
        <is>
          <t>Memory</t>
        </is>
      </c>
      <c r="F53" s="27" t="inlineStr">
        <is>
          <t>T drives MAR / address</t>
        </is>
      </c>
      <c r="G53" s="28">
        <f>COUNTIF(Pinout!$B$5:$D$36,A53)</f>
        <v/>
      </c>
      <c r="H53" s="29">
        <f>IFERROR("A"&amp;INDEX(Pinout!$A$5:$A$36,MATCH(A53,Pinout!$B$5:$B$36,0)),IFERROR("B"&amp;INDEX(Pinout!$A$5:$A$36,MATCH(A53,Pinout!$C$5:$C$36,0)),IFERROR("C"&amp;INDEX(Pinout!$A$5:$A$36,MATCH(A53,Pinout!$D$5:$D$36,0)),"NOT PLACED")))</f>
        <v/>
      </c>
    </row>
    <row r="54">
      <c r="A54" s="17" t="inlineStr">
        <is>
          <t>/SEL_CMP</t>
        </is>
      </c>
      <c r="B54" s="27" t="inlineStr">
        <is>
          <t>Control</t>
        </is>
      </c>
      <c r="C54" s="27" t="inlineStr">
        <is>
          <t>Low</t>
        </is>
      </c>
      <c r="D54" s="27" t="inlineStr">
        <is>
          <t>ALU (verify)</t>
        </is>
      </c>
      <c r="E54" s="27" t="inlineStr">
        <is>
          <t>Registers</t>
        </is>
      </c>
      <c r="F54" s="27" t="inlineStr">
        <is>
          <t>Appears on ALU and Registers sheets - confirm direction</t>
        </is>
      </c>
      <c r="G54" s="28">
        <f>COUNTIF(Pinout!$B$5:$D$36,A54)</f>
        <v/>
      </c>
      <c r="H54" s="29">
        <f>IFERROR("A"&amp;INDEX(Pinout!$A$5:$A$36,MATCH(A54,Pinout!$B$5:$B$36,0)),IFERROR("B"&amp;INDEX(Pinout!$A$5:$A$36,MATCH(A54,Pinout!$C$5:$C$36,0)),IFERROR("C"&amp;INDEX(Pinout!$A$5:$A$36,MATCH(A54,Pinout!$D$5:$D$36,0)),"NOT PLACED")))</f>
        <v/>
      </c>
    </row>
    <row r="55">
      <c r="A55" s="18" t="inlineStr">
        <is>
          <t>/C</t>
        </is>
      </c>
      <c r="B55" s="27" t="inlineStr">
        <is>
          <t>Flags</t>
        </is>
      </c>
      <c r="C55" s="27" t="inlineStr">
        <is>
          <t>Low</t>
        </is>
      </c>
      <c r="D55" s="27" t="inlineStr">
        <is>
          <t>ALU</t>
        </is>
      </c>
      <c r="E55" s="27" t="inlineStr">
        <is>
          <t>Control</t>
        </is>
      </c>
      <c r="F55" s="27" t="inlineStr">
        <is>
          <t>Carry flag</t>
        </is>
      </c>
      <c r="G55" s="28">
        <f>COUNTIF(Pinout!$B$5:$D$36,A55)</f>
        <v/>
      </c>
      <c r="H55" s="29">
        <f>IFERROR("A"&amp;INDEX(Pinout!$A$5:$A$36,MATCH(A55,Pinout!$B$5:$B$36,0)),IFERROR("B"&amp;INDEX(Pinout!$A$5:$A$36,MATCH(A55,Pinout!$C$5:$C$36,0)),IFERROR("C"&amp;INDEX(Pinout!$A$5:$A$36,MATCH(A55,Pinout!$D$5:$D$36,0)),"NOT PLACED")))</f>
        <v/>
      </c>
    </row>
    <row r="56">
      <c r="A56" s="18" t="inlineStr">
        <is>
          <t>/Z</t>
        </is>
      </c>
      <c r="B56" s="27" t="inlineStr">
        <is>
          <t>Flags</t>
        </is>
      </c>
      <c r="C56" s="27" t="inlineStr">
        <is>
          <t>Low</t>
        </is>
      </c>
      <c r="D56" s="27" t="inlineStr">
        <is>
          <t>ALU</t>
        </is>
      </c>
      <c r="E56" s="27" t="inlineStr">
        <is>
          <t>Control</t>
        </is>
      </c>
      <c r="F56" s="27" t="inlineStr">
        <is>
          <t>Zero flag</t>
        </is>
      </c>
      <c r="G56" s="28">
        <f>COUNTIF(Pinout!$B$5:$D$36,A56)</f>
        <v/>
      </c>
      <c r="H56" s="29">
        <f>IFERROR("A"&amp;INDEX(Pinout!$A$5:$A$36,MATCH(A56,Pinout!$B$5:$B$36,0)),IFERROR("B"&amp;INDEX(Pinout!$A$5:$A$36,MATCH(A56,Pinout!$C$5:$C$36,0)),IFERROR("C"&amp;INDEX(Pinout!$A$5:$A$36,MATCH(A56,Pinout!$D$5:$D$36,0)),"NOT PLACED")))</f>
        <v/>
      </c>
    </row>
    <row r="57">
      <c r="A57" s="19" t="inlineStr">
        <is>
          <t>/IO_0</t>
        </is>
      </c>
      <c r="B57" s="27" t="inlineStr">
        <is>
          <t>I/O</t>
        </is>
      </c>
      <c r="C57" s="27" t="inlineStr">
        <is>
          <t>Low</t>
        </is>
      </c>
      <c r="D57" s="27" t="inlineStr">
        <is>
          <t>Memory</t>
        </is>
      </c>
      <c r="E57" s="27" t="inlineStr">
        <is>
          <t>Backplane / I/O</t>
        </is>
      </c>
      <c r="F57" s="27" t="inlineStr">
        <is>
          <t>Output port bit</t>
        </is>
      </c>
      <c r="G57" s="28">
        <f>COUNTIF(Pinout!$B$5:$D$36,A57)</f>
        <v/>
      </c>
      <c r="H57" s="29">
        <f>IFERROR("A"&amp;INDEX(Pinout!$A$5:$A$36,MATCH(A57,Pinout!$B$5:$B$36,0)),IFERROR("B"&amp;INDEX(Pinout!$A$5:$A$36,MATCH(A57,Pinout!$C$5:$C$36,0)),IFERROR("C"&amp;INDEX(Pinout!$A$5:$A$36,MATCH(A57,Pinout!$D$5:$D$36,0)),"NOT PLACED")))</f>
        <v/>
      </c>
    </row>
    <row r="58">
      <c r="A58" s="19" t="inlineStr">
        <is>
          <t>/IO_1</t>
        </is>
      </c>
      <c r="B58" s="27" t="inlineStr">
        <is>
          <t>I/O</t>
        </is>
      </c>
      <c r="C58" s="27" t="inlineStr">
        <is>
          <t>Low</t>
        </is>
      </c>
      <c r="D58" s="27" t="inlineStr">
        <is>
          <t>Memory</t>
        </is>
      </c>
      <c r="E58" s="27" t="inlineStr">
        <is>
          <t>Backplane / I/O</t>
        </is>
      </c>
      <c r="F58" s="27" t="inlineStr">
        <is>
          <t>Output port bit</t>
        </is>
      </c>
      <c r="G58" s="28">
        <f>COUNTIF(Pinout!$B$5:$D$36,A58)</f>
        <v/>
      </c>
      <c r="H58" s="29">
        <f>IFERROR("A"&amp;INDEX(Pinout!$A$5:$A$36,MATCH(A58,Pinout!$B$5:$B$36,0)),IFERROR("B"&amp;INDEX(Pinout!$A$5:$A$36,MATCH(A58,Pinout!$C$5:$C$36,0)),IFERROR("C"&amp;INDEX(Pinout!$A$5:$A$36,MATCH(A58,Pinout!$D$5:$D$36,0)),"NOT PLACED")))</f>
        <v/>
      </c>
    </row>
    <row r="59">
      <c r="A59" s="19" t="inlineStr">
        <is>
          <t>/IO_2</t>
        </is>
      </c>
      <c r="B59" s="27" t="inlineStr">
        <is>
          <t>I/O</t>
        </is>
      </c>
      <c r="C59" s="27" t="inlineStr">
        <is>
          <t>Low</t>
        </is>
      </c>
      <c r="D59" s="27" t="inlineStr">
        <is>
          <t>Memory</t>
        </is>
      </c>
      <c r="E59" s="27" t="inlineStr">
        <is>
          <t>Backplane / I/O</t>
        </is>
      </c>
      <c r="F59" s="27" t="inlineStr">
        <is>
          <t>Output port bit</t>
        </is>
      </c>
      <c r="G59" s="28">
        <f>COUNTIF(Pinout!$B$5:$D$36,A59)</f>
        <v/>
      </c>
      <c r="H59" s="29">
        <f>IFERROR("A"&amp;INDEX(Pinout!$A$5:$A$36,MATCH(A59,Pinout!$B$5:$B$36,0)),IFERROR("B"&amp;INDEX(Pinout!$A$5:$A$36,MATCH(A59,Pinout!$C$5:$C$36,0)),IFERROR("C"&amp;INDEX(Pinout!$A$5:$A$36,MATCH(A59,Pinout!$D$5:$D$36,0)),"NOT PLACED")))</f>
        <v/>
      </c>
    </row>
    <row r="60">
      <c r="A60" s="19" t="inlineStr">
        <is>
          <t>/IO_3</t>
        </is>
      </c>
      <c r="B60" s="27" t="inlineStr">
        <is>
          <t>I/O</t>
        </is>
      </c>
      <c r="C60" s="27" t="inlineStr">
        <is>
          <t>Low</t>
        </is>
      </c>
      <c r="D60" s="27" t="inlineStr">
        <is>
          <t>Memory</t>
        </is>
      </c>
      <c r="E60" s="27" t="inlineStr">
        <is>
          <t>Backplane / I/O</t>
        </is>
      </c>
      <c r="F60" s="27" t="inlineStr">
        <is>
          <t>Output port bit</t>
        </is>
      </c>
      <c r="G60" s="28">
        <f>COUNTIF(Pinout!$B$5:$D$36,A60)</f>
        <v/>
      </c>
      <c r="H60" s="29">
        <f>IFERROR("A"&amp;INDEX(Pinout!$A$5:$A$36,MATCH(A60,Pinout!$B$5:$B$36,0)),IFERROR("B"&amp;INDEX(Pinout!$A$5:$A$36,MATCH(A60,Pinout!$C$5:$C$36,0)),IFERROR("C"&amp;INDEX(Pinout!$A$5:$A$36,MATCH(A60,Pinout!$D$5:$D$36,0)),"NOT PLACED")))</f>
        <v/>
      </c>
    </row>
    <row r="61">
      <c r="A61" s="19" t="inlineStr">
        <is>
          <t>/IO_4</t>
        </is>
      </c>
      <c r="B61" s="27" t="inlineStr">
        <is>
          <t>I/O</t>
        </is>
      </c>
      <c r="C61" s="27" t="inlineStr">
        <is>
          <t>Low</t>
        </is>
      </c>
      <c r="D61" s="27" t="inlineStr">
        <is>
          <t>Memory</t>
        </is>
      </c>
      <c r="E61" s="27" t="inlineStr">
        <is>
          <t>Backplane / I/O</t>
        </is>
      </c>
      <c r="F61" s="27" t="inlineStr">
        <is>
          <t>Output port bit</t>
        </is>
      </c>
      <c r="G61" s="28">
        <f>COUNTIF(Pinout!$B$5:$D$36,A61)</f>
        <v/>
      </c>
      <c r="H61" s="29">
        <f>IFERROR("A"&amp;INDEX(Pinout!$A$5:$A$36,MATCH(A61,Pinout!$B$5:$B$36,0)),IFERROR("B"&amp;INDEX(Pinout!$A$5:$A$36,MATCH(A61,Pinout!$C$5:$C$36,0)),IFERROR("C"&amp;INDEX(Pinout!$A$5:$A$36,MATCH(A61,Pinout!$D$5:$D$36,0)),"NOT PLACED")))</f>
        <v/>
      </c>
    </row>
    <row r="62">
      <c r="A62" s="19" t="inlineStr">
        <is>
          <t>/IO_5</t>
        </is>
      </c>
      <c r="B62" s="27" t="inlineStr">
        <is>
          <t>I/O</t>
        </is>
      </c>
      <c r="C62" s="27" t="inlineStr">
        <is>
          <t>Low</t>
        </is>
      </c>
      <c r="D62" s="27" t="inlineStr">
        <is>
          <t>Memory</t>
        </is>
      </c>
      <c r="E62" s="27" t="inlineStr">
        <is>
          <t>Backplane / I/O</t>
        </is>
      </c>
      <c r="F62" s="27" t="inlineStr">
        <is>
          <t>Output port bit</t>
        </is>
      </c>
      <c r="G62" s="28">
        <f>COUNTIF(Pinout!$B$5:$D$36,A62)</f>
        <v/>
      </c>
      <c r="H62" s="29">
        <f>IFERROR("A"&amp;INDEX(Pinout!$A$5:$A$36,MATCH(A62,Pinout!$B$5:$B$36,0)),IFERROR("B"&amp;INDEX(Pinout!$A$5:$A$36,MATCH(A62,Pinout!$C$5:$C$36,0)),IFERROR("C"&amp;INDEX(Pinout!$A$5:$A$36,MATCH(A62,Pinout!$D$5:$D$36,0)),"NOT PLACED")))</f>
        <v/>
      </c>
    </row>
    <row r="63">
      <c r="A63" s="19" t="inlineStr">
        <is>
          <t>/IO_6</t>
        </is>
      </c>
      <c r="B63" s="27" t="inlineStr">
        <is>
          <t>I/O</t>
        </is>
      </c>
      <c r="C63" s="27" t="inlineStr">
        <is>
          <t>Low</t>
        </is>
      </c>
      <c r="D63" s="27" t="inlineStr">
        <is>
          <t>Memory</t>
        </is>
      </c>
      <c r="E63" s="27" t="inlineStr">
        <is>
          <t>Backplane / I/O</t>
        </is>
      </c>
      <c r="F63" s="27" t="inlineStr">
        <is>
          <t>Output port bit</t>
        </is>
      </c>
      <c r="G63" s="28">
        <f>COUNTIF(Pinout!$B$5:$D$36,A63)</f>
        <v/>
      </c>
      <c r="H63" s="29">
        <f>IFERROR("A"&amp;INDEX(Pinout!$A$5:$A$36,MATCH(A63,Pinout!$B$5:$B$36,0)),IFERROR("B"&amp;INDEX(Pinout!$A$5:$A$36,MATCH(A63,Pinout!$C$5:$C$36,0)),IFERROR("C"&amp;INDEX(Pinout!$A$5:$A$36,MATCH(A63,Pinout!$D$5:$D$36,0)),"NOT PLACED")))</f>
        <v/>
      </c>
    </row>
    <row r="64">
      <c r="A64" s="19" t="inlineStr">
        <is>
          <t>/IO_7</t>
        </is>
      </c>
      <c r="B64" s="27" t="inlineStr">
        <is>
          <t>I/O</t>
        </is>
      </c>
      <c r="C64" s="27" t="inlineStr">
        <is>
          <t>Low</t>
        </is>
      </c>
      <c r="D64" s="27" t="inlineStr">
        <is>
          <t>Memory</t>
        </is>
      </c>
      <c r="E64" s="27" t="inlineStr">
        <is>
          <t>Backplane / I/O</t>
        </is>
      </c>
      <c r="F64" s="27" t="inlineStr">
        <is>
          <t>Output port bit</t>
        </is>
      </c>
      <c r="G64" s="28">
        <f>COUNTIF(Pinout!$B$5:$D$36,A64)</f>
        <v/>
      </c>
      <c r="H64" s="29">
        <f>IFERROR("A"&amp;INDEX(Pinout!$A$5:$A$36,MATCH(A64,Pinout!$B$5:$B$36,0)),IFERROR("B"&amp;INDEX(Pinout!$A$5:$A$36,MATCH(A64,Pinout!$C$5:$C$36,0)),IFERROR("C"&amp;INDEX(Pinout!$A$5:$A$36,MATCH(A64,Pinout!$D$5:$D$36,0)),"NOT PLACED")))</f>
        <v/>
      </c>
    </row>
    <row r="65">
      <c r="A65" s="19" t="inlineStr">
        <is>
          <t>/IO_SEL</t>
        </is>
      </c>
      <c r="B65" s="27" t="inlineStr">
        <is>
          <t>I/O</t>
        </is>
      </c>
      <c r="C65" s="27" t="inlineStr">
        <is>
          <t>Low</t>
        </is>
      </c>
      <c r="D65" s="27" t="inlineStr">
        <is>
          <t>Memory</t>
        </is>
      </c>
      <c r="E65" s="27" t="inlineStr">
        <is>
          <t>I/O cards</t>
        </is>
      </c>
      <c r="F65" s="27" t="inlineStr">
        <is>
          <t>I/O address decode</t>
        </is>
      </c>
      <c r="G65" s="28">
        <f>COUNTIF(Pinout!$B$5:$D$36,A65)</f>
        <v/>
      </c>
      <c r="H65" s="29">
        <f>IFERROR("A"&amp;INDEX(Pinout!$A$5:$A$36,MATCH(A65,Pinout!$B$5:$B$36,0)),IFERROR("B"&amp;INDEX(Pinout!$A$5:$A$36,MATCH(A65,Pinout!$C$5:$C$36,0)),IFERROR("C"&amp;INDEX(Pinout!$A$5:$A$36,MATCH(A65,Pinout!$D$5:$D$36,0)),"NOT PLACED")))</f>
        <v/>
      </c>
    </row>
    <row r="66">
      <c r="A66" s="19" t="inlineStr">
        <is>
          <t>/IRQ</t>
        </is>
      </c>
      <c r="B66" s="27" t="inlineStr">
        <is>
          <t>I/O</t>
        </is>
      </c>
      <c r="C66" s="27" t="inlineStr">
        <is>
          <t>Low</t>
        </is>
      </c>
      <c r="D66" s="27" t="inlineStr">
        <is>
          <t>I/O cards</t>
        </is>
      </c>
      <c r="E66" s="27" t="inlineStr">
        <is>
          <t>Control</t>
        </is>
      </c>
      <c r="F66" s="27" t="inlineStr">
        <is>
          <t>RESERVED: interrupt request, open-collector wired-OR, pull-up on backplane</t>
        </is>
      </c>
      <c r="G66" s="28">
        <f>COUNTIF(Pinout!$B$5:$D$36,A66)</f>
        <v/>
      </c>
      <c r="H66" s="29">
        <f>IFERROR("A"&amp;INDEX(Pinout!$A$5:$A$36,MATCH(A66,Pinout!$B$5:$B$36,0)),IFERROR("B"&amp;INDEX(Pinout!$A$5:$A$36,MATCH(A66,Pinout!$C$5:$C$36,0)),IFERROR("C"&amp;INDEX(Pinout!$A$5:$A$36,MATCH(A66,Pinout!$D$5:$D$36,0)),"NOT PLACED")))</f>
        <v/>
      </c>
    </row>
    <row r="67">
      <c r="A67" s="19" t="inlineStr">
        <is>
          <t>/IACK</t>
        </is>
      </c>
      <c r="B67" s="27" t="inlineStr">
        <is>
          <t>I/O</t>
        </is>
      </c>
      <c r="C67" s="27" t="inlineStr">
        <is>
          <t>Low</t>
        </is>
      </c>
      <c r="D67" s="27" t="inlineStr">
        <is>
          <t>Control</t>
        </is>
      </c>
      <c r="E67" s="27" t="inlineStr">
        <is>
          <t>I/O cards</t>
        </is>
      </c>
      <c r="F67" s="27" t="inlineStr">
        <is>
          <t>RESERVED: interrupt acknowledge, card releases /IRQ</t>
        </is>
      </c>
      <c r="G67" s="28">
        <f>COUNTIF(Pinout!$B$5:$D$36,A67)</f>
        <v/>
      </c>
      <c r="H67" s="29">
        <f>IFERROR("A"&amp;INDEX(Pinout!$A$5:$A$36,MATCH(A67,Pinout!$B$5:$B$36,0)),IFERROR("B"&amp;INDEX(Pinout!$A$5:$A$36,MATCH(A67,Pinout!$C$5:$C$36,0)),IFERROR("C"&amp;INDEX(Pinout!$A$5:$A$36,MATCH(A67,Pinout!$D$5:$D$36,0)),"NOT PLACED")))</f>
        <v/>
      </c>
    </row>
    <row r="69">
      <c r="A69" s="2" t="inlineStr">
        <is>
          <t>Pin shows the first placement; power uses several pins (see Pins used). Red = signal missing or placed twice. Edit the Pinout grid, not this sheet's formulas.</t>
        </is>
      </c>
    </row>
  </sheetData>
  <autoFilter ref="A1:H67"/>
  <conditionalFormatting sqref="H2:H67">
    <cfRule type="expression" priority="1" dxfId="0">
      <formula>H2="NOT PLACED"</formula>
    </cfRule>
  </conditionalFormatting>
  <conditionalFormatting sqref="G2:G67">
    <cfRule type="expression" priority="2" dxfId="0">
      <formula>AND(G2&gt;1,$B2&lt;&gt;"Power")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2026-10-28T20:52:22Z</dcterms:created>
  <dcterms:modified xmlns:dcterms="http://purl.org/dc/terms/" xmlns:xsi="http://www.w3.org/2001/XMLSchema-instance" xsi:type="dcterms:W3CDTF">2026-10-28T20:52:22Z</dcterms:modified>
</cp:coreProperties>
</file>